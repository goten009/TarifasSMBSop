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inson.rodriguez\Downloads\"/>
    </mc:Choice>
  </mc:AlternateContent>
  <xr:revisionPtr revIDLastSave="0" documentId="13_ncr:1_{FD3F7163-832E-49C8-B7C4-20D607B3D7B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glas_de_Uso" sheetId="5" r:id="rId1"/>
    <sheet name="Buscador" sheetId="3" r:id="rId2"/>
    <sheet name="Lista_Precios" sheetId="1" r:id="rId3"/>
    <sheet name="Specs_Firewall" sheetId="2" r:id="rId4"/>
    <sheet name="Comparador_12_24_36" sheetId="6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G27" i="6" s="1"/>
  <c r="E27" i="6"/>
  <c r="D27" i="6"/>
  <c r="F26" i="6"/>
  <c r="G26" i="6" s="1"/>
  <c r="E26" i="6"/>
  <c r="D26" i="6"/>
  <c r="F25" i="6"/>
  <c r="G25" i="6" s="1"/>
  <c r="E25" i="6"/>
  <c r="D25" i="6"/>
  <c r="F24" i="6"/>
  <c r="G24" i="6" s="1"/>
  <c r="E24" i="6"/>
  <c r="D24" i="6"/>
  <c r="F23" i="6"/>
  <c r="G23" i="6" s="1"/>
  <c r="E23" i="6"/>
  <c r="D23" i="6"/>
  <c r="F22" i="6"/>
  <c r="G22" i="6" s="1"/>
  <c r="E22" i="6"/>
  <c r="D22" i="6"/>
  <c r="F21" i="6"/>
  <c r="G21" i="6" s="1"/>
  <c r="E21" i="6"/>
  <c r="D21" i="6"/>
  <c r="F20" i="6"/>
  <c r="G20" i="6" s="1"/>
  <c r="E20" i="6"/>
  <c r="D20" i="6"/>
  <c r="F19" i="6"/>
  <c r="G19" i="6" s="1"/>
  <c r="E19" i="6"/>
  <c r="D19" i="6"/>
  <c r="F18" i="6"/>
  <c r="G18" i="6" s="1"/>
  <c r="E18" i="6"/>
  <c r="D18" i="6"/>
  <c r="F17" i="6"/>
  <c r="G17" i="6" s="1"/>
  <c r="E17" i="6"/>
  <c r="D17" i="6"/>
  <c r="F16" i="6"/>
  <c r="G16" i="6" s="1"/>
  <c r="E16" i="6"/>
  <c r="D16" i="6"/>
  <c r="F15" i="6"/>
  <c r="G15" i="6" s="1"/>
  <c r="E15" i="6"/>
  <c r="D15" i="6"/>
  <c r="F14" i="6"/>
  <c r="G14" i="6" s="1"/>
  <c r="E14" i="6"/>
  <c r="D14" i="6"/>
  <c r="F13" i="6"/>
  <c r="G13" i="6" s="1"/>
  <c r="E13" i="6"/>
  <c r="D13" i="6"/>
  <c r="F12" i="6"/>
  <c r="G12" i="6" s="1"/>
  <c r="E12" i="6"/>
  <c r="D12" i="6"/>
  <c r="F11" i="6"/>
  <c r="G11" i="6" s="1"/>
  <c r="E11" i="6"/>
  <c r="D11" i="6"/>
  <c r="F10" i="6"/>
  <c r="G10" i="6" s="1"/>
  <c r="E10" i="6"/>
  <c r="D10" i="6"/>
  <c r="F9" i="6"/>
  <c r="G9" i="6" s="1"/>
  <c r="E9" i="6"/>
  <c r="D9" i="6"/>
  <c r="F8" i="6"/>
  <c r="G8" i="6" s="1"/>
  <c r="E8" i="6"/>
  <c r="D8" i="6"/>
  <c r="F7" i="6"/>
  <c r="G7" i="6" s="1"/>
  <c r="E7" i="6"/>
  <c r="D7" i="6"/>
  <c r="F6" i="6"/>
  <c r="G6" i="6" s="1"/>
  <c r="E6" i="6"/>
  <c r="D6" i="6"/>
  <c r="F5" i="6"/>
  <c r="G5" i="6" s="1"/>
  <c r="E5" i="6"/>
  <c r="D5" i="6"/>
  <c r="F4" i="6"/>
  <c r="G4" i="6" s="1"/>
  <c r="E4" i="6"/>
  <c r="D4" i="6"/>
  <c r="A11" i="3" a="1"/>
  <c r="A1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<sst xmlns="http://schemas.openxmlformats.org/spreadsheetml/2006/main" count="962" uniqueCount="174">
  <si>
    <t>Familia</t>
  </si>
  <si>
    <t>Subfamilia</t>
  </si>
  <si>
    <t>Producto</t>
  </si>
  <si>
    <t>Modelo</t>
  </si>
  <si>
    <t>Rango</t>
  </si>
  <si>
    <t>Min Usuarios</t>
  </si>
  <si>
    <t>Max Usuarios</t>
  </si>
  <si>
    <t>SKU</t>
  </si>
  <si>
    <t>Vigencia Meses</t>
  </si>
  <si>
    <t>MSRP USD</t>
  </si>
  <si>
    <t>Con DR USD</t>
  </si>
  <si>
    <t>Unidad</t>
  </si>
  <si>
    <t>Throughput Max</t>
  </si>
  <si>
    <t>Sesiones Concurrentes</t>
  </si>
  <si>
    <t>Sesiones Por Segundo</t>
  </si>
  <si>
    <t>Usuarios Full UTM</t>
  </si>
  <si>
    <t>Validez</t>
  </si>
  <si>
    <t>Firewall</t>
  </si>
  <si>
    <t>XGS</t>
  </si>
  <si>
    <t>XGS 88</t>
  </si>
  <si>
    <t>1-20 usuarios</t>
  </si>
  <si>
    <t>XG88ZZ00ZZPCUS</t>
  </si>
  <si>
    <t>Equipo</t>
  </si>
  <si>
    <t>9Gbps</t>
  </si>
  <si>
    <t>30/06/2026</t>
  </si>
  <si>
    <t>XS88ZZ12ZZNCAA</t>
  </si>
  <si>
    <t>Licencia</t>
  </si>
  <si>
    <t>XS88ZZ24ZZNCAA</t>
  </si>
  <si>
    <t>XS88ZZ36ZZNCAA</t>
  </si>
  <si>
    <t>XGS 108</t>
  </si>
  <si>
    <t>1-40 usuarios</t>
  </si>
  <si>
    <t>XG108Z00ZZPCUS</t>
  </si>
  <si>
    <t>12,5Gbps</t>
  </si>
  <si>
    <t>XS108Z12ZZNCAA</t>
  </si>
  <si>
    <t>XS108Z24ZZNCAA</t>
  </si>
  <si>
    <t>XS108Z36ZZNCAA</t>
  </si>
  <si>
    <t>XGS 118</t>
  </si>
  <si>
    <t>1-70 usuarios</t>
  </si>
  <si>
    <t>XG118Z00ZZPCUS</t>
  </si>
  <si>
    <t>15,5Gbps</t>
  </si>
  <si>
    <t>XS118Z12ZZNCAA</t>
  </si>
  <si>
    <t>XS118Z24ZZNCAA</t>
  </si>
  <si>
    <t>XS118Z36ZZNCAA</t>
  </si>
  <si>
    <t>XGS 128</t>
  </si>
  <si>
    <t>1-100 usuarios</t>
  </si>
  <si>
    <t>XG128Z00ZZPCUS</t>
  </si>
  <si>
    <t>19,1Gbps</t>
  </si>
  <si>
    <t>XS128Z12ZZNCAA</t>
  </si>
  <si>
    <t>XS128Z24ZZNCAA</t>
  </si>
  <si>
    <t>XS128Z36ZZNCAA</t>
  </si>
  <si>
    <t>XGS 138</t>
  </si>
  <si>
    <t>1-200 usuarios</t>
  </si>
  <si>
    <t>XG138Z00ZZPCUS</t>
  </si>
  <si>
    <t>XS138Z12ZZNCAA</t>
  </si>
  <si>
    <t>XS138Z24ZZNCAA</t>
  </si>
  <si>
    <t>XS138Z36ZZNCAA</t>
  </si>
  <si>
    <t>Endpoint</t>
  </si>
  <si>
    <t>Endpoint Protection</t>
  </si>
  <si>
    <t>Sophos Endpoint</t>
  </si>
  <si>
    <t>N/A</t>
  </si>
  <si>
    <t>1-100 LIC</t>
  </si>
  <si>
    <t>Usuario/Servidor</t>
  </si>
  <si>
    <t>Server</t>
  </si>
  <si>
    <t>Server Protection</t>
  </si>
  <si>
    <t>Sophos Server</t>
  </si>
  <si>
    <t>101-200 LIC</t>
  </si>
  <si>
    <t>CIXA0U12AENCAA</t>
  </si>
  <si>
    <t>CIXA0S12BGNCAA</t>
  </si>
  <si>
    <t>CIXA0U24AENCAA</t>
  </si>
  <si>
    <t>CIXA0S24BGNCAA</t>
  </si>
  <si>
    <t>CIXA0U36AENCAA</t>
  </si>
  <si>
    <t>CIXA0S36BGNCAA</t>
  </si>
  <si>
    <t>EDR User</t>
  </si>
  <si>
    <t>Endpoint Detection &amp; Response</t>
  </si>
  <si>
    <t>EDR USER</t>
  </si>
  <si>
    <t>1-9 LIC</t>
  </si>
  <si>
    <t>SEDRAU12AANCAA</t>
  </si>
  <si>
    <t>10-24 LIC</t>
  </si>
  <si>
    <t>SEDRAU12ABNCAA</t>
  </si>
  <si>
    <t>25-49 LIC</t>
  </si>
  <si>
    <t>SEDRAU12ACNCAA</t>
  </si>
  <si>
    <t>50-99 LIC</t>
  </si>
  <si>
    <t>SEDRAU12ADNCAA</t>
  </si>
  <si>
    <t>100-199 LIC</t>
  </si>
  <si>
    <t>SEDRAU12AENCAA</t>
  </si>
  <si>
    <t>SEDRAU24AANCAA</t>
  </si>
  <si>
    <t>SEDRAU24ABNCAA</t>
  </si>
  <si>
    <t>SEDRAU24ACNCAA</t>
  </si>
  <si>
    <t>SEDRAU24ADNCAA</t>
  </si>
  <si>
    <t>SEDRAU24AENCAA</t>
  </si>
  <si>
    <t>SEDRAU36AANCAA</t>
  </si>
  <si>
    <t>SEDRAU36ABNCAA</t>
  </si>
  <si>
    <t>SEDRAU36ACNCAA</t>
  </si>
  <si>
    <t>SEDRAU36ADNCAA</t>
  </si>
  <si>
    <t>SEDRAU36AENCAA</t>
  </si>
  <si>
    <t>EDR Server</t>
  </si>
  <si>
    <t>EDR SERVER</t>
  </si>
  <si>
    <t>SEDRAS12BANCAA</t>
  </si>
  <si>
    <t>SEDRAS12BBNCAA</t>
  </si>
  <si>
    <t>SEDRAS12BCNCAA</t>
  </si>
  <si>
    <t>SEDRAS12BDNCAA</t>
  </si>
  <si>
    <t>100-999 LIC</t>
  </si>
  <si>
    <t>SEDRAS12BGNCAA</t>
  </si>
  <si>
    <t>SEDRAS24BANCAA</t>
  </si>
  <si>
    <t>SEDRAS24BBNCAA</t>
  </si>
  <si>
    <t>SEDRAS24BCNCAA</t>
  </si>
  <si>
    <t>SEDRAS24BDNCAA</t>
  </si>
  <si>
    <t>SEDRAS24BGNCAA</t>
  </si>
  <si>
    <t>SEDRAS36BANCAA</t>
  </si>
  <si>
    <t>SEDRAS36BBNCAA</t>
  </si>
  <si>
    <t>SEDRAS36BCNCAA</t>
  </si>
  <si>
    <t>SEDRAS36BDNCAA</t>
  </si>
  <si>
    <t>SEDRAS36BGNCAA</t>
  </si>
  <si>
    <t>XDR User</t>
  </si>
  <si>
    <t>Extended Detection &amp; Response</t>
  </si>
  <si>
    <t>XDR USER</t>
  </si>
  <si>
    <t>XDR Server</t>
  </si>
  <si>
    <t>XDR SERVER</t>
  </si>
  <si>
    <t>Marca</t>
  </si>
  <si>
    <t>Sesiones por Segundo</t>
  </si>
  <si>
    <t>Sophos</t>
  </si>
  <si>
    <t>Buscador rápido de precios Sophos SMB - hasta 200 usuarios</t>
  </si>
  <si>
    <t>Ingrese los criterios de consulta. El resultado se filtra automáticamente desde la lista de precios normalizada.</t>
  </si>
  <si>
    <t>Campo</t>
  </si>
  <si>
    <t>Valor</t>
  </si>
  <si>
    <t>Comentario</t>
  </si>
  <si>
    <t>Seleccione el tipo de solución</t>
  </si>
  <si>
    <t>Cantidad usuarios/licencias</t>
  </si>
  <si>
    <t>Máximo SMB considerado: 200</t>
  </si>
  <si>
    <t>Vigencia meses</t>
  </si>
  <si>
    <t>Use 12, 24 o 36. Para appliance HW se muestra con vigencia 0.</t>
  </si>
  <si>
    <t>Regla</t>
  </si>
  <si>
    <t>Aplica a</t>
  </si>
  <si>
    <t>Acción requerida</t>
  </si>
  <si>
    <t>Riesgo si no se valida</t>
  </si>
  <si>
    <t>Prioridad</t>
  </si>
  <si>
    <t>Precios válidos hasta el 30 de junio de 2026</t>
  </si>
  <si>
    <t>Todo el archivo</t>
  </si>
  <si>
    <t>Confirmar vigencia antes de emitir oferta formal</t>
  </si>
  <si>
    <t>Usar precio vencido o no autorizado</t>
  </si>
  <si>
    <t>Alta</t>
  </si>
  <si>
    <t>Segmento limitado a SMB hasta 200 usuarios</t>
  </si>
  <si>
    <t>Todas las familias</t>
  </si>
  <si>
    <t>Si supera 200 usuarios, escalar a cotización formal</t>
  </si>
  <si>
    <t>Subdimensionamiento o descuento incorrecto</t>
  </si>
  <si>
    <t>Firewall no se dimensiona solo por cantidad de usuarios</t>
  </si>
  <si>
    <t>Validar throughput, VPN, SSL inspection, IPS, HA, sedes y servicios</t>
  </si>
  <si>
    <t>Equipo insuficiente para el tráfico real</t>
  </si>
  <si>
    <t>Separar usuario final de servidor</t>
  </si>
  <si>
    <t>Endpoint / Server / EDR / XDR</t>
  </si>
  <si>
    <t>Contar usuarios y servidores por separado</t>
  </si>
  <si>
    <t>Cotización incorrecta de licencias</t>
  </si>
  <si>
    <t>Validar si aplica registro de oportunidad</t>
  </si>
  <si>
    <t>Todos los productos</t>
  </si>
  <si>
    <t>Confirmar estado de DR antes de cerrar precio final</t>
  </si>
  <si>
    <t>Diferencia entre precio estimado y precio aprobado</t>
  </si>
  <si>
    <t>Media</t>
  </si>
  <si>
    <t>EDR/XDR requiere conversación de operación</t>
  </si>
  <si>
    <t>EDR / XDR</t>
  </si>
  <si>
    <t>Definir quién revisa alertas e investiga eventos</t>
  </si>
  <si>
    <t>Vender visibilidad sin capacidad de respuesta</t>
  </si>
  <si>
    <t>Usar matriz antes de recomendar producto</t>
  </si>
  <si>
    <t>Comercial / preventa</t>
  </si>
  <si>
    <t>Partir del dolor del cliente y no solo del SKU</t>
  </si>
  <si>
    <t>Oferta poco alineada al problema</t>
  </si>
  <si>
    <t>Comparador de vigencias - precio referencia</t>
  </si>
  <si>
    <t>Producto / Modelo</t>
  </si>
  <si>
    <t>12 meses ref.</t>
  </si>
  <si>
    <t>24 meses ref.</t>
  </si>
  <si>
    <t>36 meses ref.</t>
  </si>
  <si>
    <t>Mensual equivalente 36m</t>
  </si>
  <si>
    <t>Recomendación</t>
  </si>
  <si>
    <t>Recomendar 36 meses si el cliente busca mayor planeación presupuestal.</t>
  </si>
  <si>
    <t>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</si>
</sst>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\$#,##0.00"/>
    <numFmt numFmtId="165" formatCode="_-&quot;$&quot;\ * #,##0_-;\-&quot;$&quot;\ * #,##0_-;_-&quot;$&quot;\ * &quot;-&quot;??_-;_-@_-"/>
  </numFmts>
  <fonts count="6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name val="Carlito"/>
    </font>
    <font>
      <b/>
      <sz val="15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1" applyNumberFormat="1" applyFont="1"/>
    <xf numFmtId="165" fontId="1" fillId="2" borderId="0" xfId="1" applyNumberFormat="1" applyFont="1" applyFill="1" applyAlignment="1">
      <alignment horizontal="center" vertical="center" wrapText="1"/>
    </xf>
    <xf numFmtId="165" fontId="0" fillId="0" borderId="0" xfId="1" applyNumberFormat="1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Precios" displayName="ListaPrecios" ref="A1:Q93">
  <tableColumns count="17">
    <tableColumn id="1" xr3:uid="{00000000-0010-0000-0000-000001000000}" name="Familia"/>
    <tableColumn id="2" xr3:uid="{00000000-0010-0000-0000-000002000000}" name="Subfamilia"/>
    <tableColumn id="3" xr3:uid="{00000000-0010-0000-0000-000003000000}" name="Producto"/>
    <tableColumn id="4" xr3:uid="{00000000-0010-0000-0000-000004000000}" name="Modelo"/>
    <tableColumn id="5" xr3:uid="{00000000-0010-0000-0000-000005000000}" name="Rango"/>
    <tableColumn id="6" xr3:uid="{00000000-0010-0000-0000-000006000000}" name="Min Usuarios"/>
    <tableColumn id="7" xr3:uid="{00000000-0010-0000-0000-000007000000}" name="Max Usuarios"/>
    <tableColumn id="8" xr3:uid="{00000000-0010-0000-0000-000008000000}" name="SKU"/>
    <tableColumn id="9" xr3:uid="{00000000-0010-0000-0000-000009000000}" name="Vigencia Meses"/>
    <tableColumn id="10" xr3:uid="{00000000-0010-0000-0000-00000A000000}" name="MSRP USD"/>
    <tableColumn id="11" xr3:uid="{00000000-0010-0000-0000-00000B000000}" name="Con DR USD"/>
    <tableColumn id="12" xr3:uid="{00000000-0010-0000-0000-00000C000000}" name="Unidad"/>
    <tableColumn id="13" xr3:uid="{00000000-0010-0000-0000-00000D000000}" name="Throughput Max"/>
    <tableColumn id="14" xr3:uid="{00000000-0010-0000-0000-00000E000000}" name="Sesiones Concurrentes"/>
    <tableColumn id="15" xr3:uid="{00000000-0010-0000-0000-00000F000000}" name="Sesiones Por Segundo"/>
    <tableColumn id="16" xr3:uid="{00000000-0010-0000-0000-000010000000}" name="Usuarios Full UTM"/>
    <tableColumn id="19" xr3:uid="{00000000-0010-0000-0000-000013000000}" name="Validez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ecsFirewall" displayName="SpecsFirewall" ref="A1:F6">
  <tableColumns count="6">
    <tableColumn id="1" xr3:uid="{00000000-0010-0000-0100-000001000000}" name="Marca"/>
    <tableColumn id="2" xr3:uid="{00000000-0010-0000-0100-000002000000}" name="Modelo"/>
    <tableColumn id="3" xr3:uid="{00000000-0010-0000-0100-000003000000}" name="Throughput Max"/>
    <tableColumn id="4" xr3:uid="{00000000-0010-0000-0100-000004000000}" name="Sesiones Concurrentes"/>
    <tableColumn id="5" xr3:uid="{00000000-0010-0000-0100-000005000000}" name="Sesiones por Segundo"/>
    <tableColumn id="6" xr3:uid="{00000000-0010-0000-0100-000006000000}" name="Usuarios Full UT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mparadorVigencias" displayName="ComparadorVigencias" ref="A3:H27">
  <tableColumns count="8">
    <tableColumn id="1" xr3:uid="{00000000-0010-0000-0400-000001000000}" name="Familia"/>
    <tableColumn id="2" xr3:uid="{00000000-0010-0000-0400-000002000000}" name="Producto / Modelo"/>
    <tableColumn id="3" xr3:uid="{00000000-0010-0000-0400-000003000000}" name="Rango"/>
    <tableColumn id="4" xr3:uid="{00000000-0010-0000-0400-000004000000}" name="12 meses ref."/>
    <tableColumn id="5" xr3:uid="{00000000-0010-0000-0400-000005000000}" name="24 meses ref."/>
    <tableColumn id="6" xr3:uid="{00000000-0010-0000-0400-000006000000}" name="36 meses ref."/>
    <tableColumn id="7" xr3:uid="{00000000-0010-0000-0400-000007000000}" name="Mensual equivalente 36m"/>
    <tableColumn id="8" xr3:uid="{00000000-0010-0000-0400-000008000000}" name="Recomend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B9" sqref="B9"/>
    </sheetView>
  </sheetViews>
  <sheetFormatPr baseColWidth="10" defaultColWidth="8.7265625" defaultRowHeight="14.5" x14ac:dyDescent="0.35"/>
  <cols>
    <col min="1" max="1" width="42" customWidth="1"/>
    <col min="2" max="2" width="24" customWidth="1"/>
    <col min="3" max="3" width="42" customWidth="1"/>
    <col min="4" max="4" width="38" customWidth="1"/>
    <col min="5" max="5" width="14" customWidth="1"/>
  </cols>
  <sheetData>
    <row r="1" spans="1:5" x14ac:dyDescent="0.35">
      <c r="A1" s="12" t="s">
        <v>131</v>
      </c>
      <c r="B1" s="13" t="s">
        <v>132</v>
      </c>
      <c r="C1" s="13" t="s">
        <v>133</v>
      </c>
      <c r="D1" s="13" t="s">
        <v>134</v>
      </c>
      <c r="E1" s="13" t="s">
        <v>135</v>
      </c>
    </row>
    <row r="2" spans="1:5" x14ac:dyDescent="0.35">
      <c r="A2" s="3" t="s">
        <v>136</v>
      </c>
      <c r="B2" s="3" t="s">
        <v>137</v>
      </c>
      <c r="C2" s="3" t="s">
        <v>138</v>
      </c>
      <c r="D2" s="3" t="s">
        <v>139</v>
      </c>
      <c r="E2" s="3" t="s">
        <v>140</v>
      </c>
    </row>
    <row r="3" spans="1:5" ht="29" x14ac:dyDescent="0.35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140</v>
      </c>
    </row>
    <row r="4" spans="1:5" ht="29" x14ac:dyDescent="0.35">
      <c r="A4" s="3" t="s">
        <v>145</v>
      </c>
      <c r="B4" s="3" t="s">
        <v>18</v>
      </c>
      <c r="C4" s="3" t="s">
        <v>146</v>
      </c>
      <c r="D4" s="3" t="s">
        <v>147</v>
      </c>
      <c r="E4" s="3" t="s">
        <v>140</v>
      </c>
    </row>
    <row r="5" spans="1:5" ht="29" x14ac:dyDescent="0.35">
      <c r="A5" s="3" t="s">
        <v>148</v>
      </c>
      <c r="B5" s="3" t="s">
        <v>149</v>
      </c>
      <c r="C5" s="3" t="s">
        <v>150</v>
      </c>
      <c r="D5" s="3" t="s">
        <v>151</v>
      </c>
      <c r="E5" s="3" t="s">
        <v>140</v>
      </c>
    </row>
    <row r="6" spans="1:5" ht="29" x14ac:dyDescent="0.35">
      <c r="A6" s="3" t="s">
        <v>152</v>
      </c>
      <c r="B6" s="3" t="s">
        <v>153</v>
      </c>
      <c r="C6" s="3" t="s">
        <v>154</v>
      </c>
      <c r="D6" s="3" t="s">
        <v>155</v>
      </c>
      <c r="E6" s="3" t="s">
        <v>156</v>
      </c>
    </row>
    <row r="7" spans="1:5" ht="29" x14ac:dyDescent="0.35">
      <c r="A7" s="3" t="s">
        <v>157</v>
      </c>
      <c r="B7" s="3" t="s">
        <v>158</v>
      </c>
      <c r="C7" s="3" t="s">
        <v>159</v>
      </c>
      <c r="D7" s="3" t="s">
        <v>160</v>
      </c>
      <c r="E7" s="3" t="s">
        <v>156</v>
      </c>
    </row>
    <row r="8" spans="1:5" x14ac:dyDescent="0.35">
      <c r="A8" s="3" t="s">
        <v>161</v>
      </c>
      <c r="B8" s="3" t="s">
        <v>162</v>
      </c>
      <c r="C8" s="3" t="s">
        <v>163</v>
      </c>
      <c r="D8" s="3" t="s">
        <v>164</v>
      </c>
      <c r="E8" s="3" t="s">
        <v>156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"/>
  <sheetViews>
    <sheetView topLeftCell="A3" workbookViewId="0">
      <selection activeCell="B6" sqref="B6"/>
    </sheetView>
  </sheetViews>
  <sheetFormatPr baseColWidth="10" defaultColWidth="8.7265625" defaultRowHeight="14.5" x14ac:dyDescent="0.35"/>
  <cols>
    <col min="1" max="1" width="14" customWidth="1"/>
    <col min="2" max="2" width="22" customWidth="1"/>
    <col min="3" max="3" width="18" customWidth="1"/>
    <col min="4" max="4" width="14" customWidth="1"/>
    <col min="5" max="5" width="16" customWidth="1"/>
    <col min="6" max="7" width="10" customWidth="1"/>
    <col min="8" max="8" width="18" customWidth="1"/>
    <col min="9" max="9" width="12" customWidth="1"/>
    <col min="10" max="11" width="12" style="6" customWidth="1"/>
    <col min="12" max="12" width="14" customWidth="1"/>
    <col min="13" max="13" width="16" customWidth="1"/>
    <col min="14" max="15" width="18" customWidth="1"/>
    <col min="16" max="16" width="14" customWidth="1"/>
    <col min="17" max="17" width="12" customWidth="1"/>
  </cols>
  <sheetData>
    <row r="1" spans="1:17" ht="18.649999999999999" customHeight="1" x14ac:dyDescent="0.35">
      <c r="A1" s="9" t="s">
        <v>121</v>
      </c>
      <c r="B1" s="10"/>
      <c r="C1" s="10"/>
      <c r="D1" s="10"/>
      <c r="E1" s="10"/>
      <c r="F1" s="10"/>
      <c r="G1" s="10"/>
      <c r="H1" s="10"/>
    </row>
    <row r="3" spans="1:17" x14ac:dyDescent="0.35">
      <c r="A3" s="11" t="s">
        <v>122</v>
      </c>
      <c r="B3" s="10"/>
      <c r="C3" s="10"/>
      <c r="D3" s="10"/>
    </row>
    <row r="5" spans="1:17" x14ac:dyDescent="0.35">
      <c r="A5" s="1" t="s">
        <v>123</v>
      </c>
      <c r="B5" s="1" t="s">
        <v>124</v>
      </c>
      <c r="C5" s="1" t="s">
        <v>125</v>
      </c>
    </row>
    <row r="6" spans="1:17" ht="29" x14ac:dyDescent="0.35">
      <c r="A6" s="3" t="s">
        <v>0</v>
      </c>
      <c r="B6" s="3" t="s">
        <v>56</v>
      </c>
      <c r="C6" s="3" t="s">
        <v>126</v>
      </c>
    </row>
    <row r="7" spans="1:17" ht="43.5" x14ac:dyDescent="0.35">
      <c r="A7" s="3" t="s">
        <v>127</v>
      </c>
      <c r="B7" s="3">
        <v>1</v>
      </c>
      <c r="C7" s="3" t="s">
        <v>128</v>
      </c>
    </row>
    <row r="8" spans="1:17" ht="58" x14ac:dyDescent="0.35">
      <c r="A8" s="3" t="s">
        <v>129</v>
      </c>
      <c r="B8" s="3">
        <v>12</v>
      </c>
      <c r="C8" s="3" t="s">
        <v>130</v>
      </c>
    </row>
    <row r="10" spans="1:17" ht="29" x14ac:dyDescent="0.3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7" t="s">
        <v>9</v>
      </c>
      <c r="K10" s="7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173</v>
      </c>
    </row>
    <row r="11" spans="1:17" ht="29" x14ac:dyDescent="0.35">
      <c r="A11" s="3" t="str" cm="1">
        <f t="array" ref="A11:Q11">_xlfn._xlws.FILTER(Lista_Precios!A2:Q200,(Lista_Precios!A2:A200=$B$6)*(Lista_Precios!F2:F200&lt;=$B$7)*(Lista_Precios!G2:G200&gt;=$B$7)*((Lista_Precios!I2:I200=$B$8)+(Lista_Precios!I2:I200=0)),"Sin resultados para los criterios seleccionados")</f>
        <v>Endpoint</v>
      </c>
      <c r="B11" s="3" t="str">
        <v>Endpoint Protection</v>
      </c>
      <c r="C11" s="3" t="str">
        <v>Sophos Endpoint</v>
      </c>
      <c r="D11" s="3" t="str">
        <v>N/A</v>
      </c>
      <c r="E11" s="3" t="str">
        <v>1-100 LIC</v>
      </c>
      <c r="F11" s="3">
        <v>1</v>
      </c>
      <c r="G11" s="3">
        <v>100</v>
      </c>
      <c r="H11" s="3">
        <v>0</v>
      </c>
      <c r="I11" s="3">
        <v>12</v>
      </c>
      <c r="J11" s="8">
        <v>26.04</v>
      </c>
      <c r="K11" s="8">
        <v>0</v>
      </c>
      <c r="L11" s="3" t="str">
        <v>Usuario/Servidor</v>
      </c>
      <c r="M11" s="3">
        <v>0</v>
      </c>
      <c r="N11" s="3">
        <v>0</v>
      </c>
      <c r="O11" s="3">
        <v>0</v>
      </c>
      <c r="P11" s="3">
        <v>0</v>
      </c>
      <c r="Q11" s="3" t="str">
        <v>30/06/2026</v>
      </c>
    </row>
    <row r="12" spans="1:17" x14ac:dyDescent="0.35">
      <c r="A12" s="3"/>
      <c r="B12" s="3"/>
      <c r="C12" s="3"/>
      <c r="D12" s="3"/>
      <c r="E12" s="3"/>
      <c r="F12" s="3"/>
      <c r="G12" s="3"/>
      <c r="H12" s="3"/>
      <c r="I12" s="3"/>
      <c r="J12" s="8"/>
      <c r="K12" s="8"/>
      <c r="L12" s="3"/>
      <c r="M12" s="3"/>
      <c r="N12" s="3"/>
      <c r="O12" s="3"/>
      <c r="P12" s="3"/>
      <c r="Q12" s="3"/>
    </row>
    <row r="13" spans="1:17" x14ac:dyDescent="0.35">
      <c r="A13" s="3"/>
      <c r="B13" s="3"/>
      <c r="C13" s="3"/>
      <c r="D13" s="3"/>
      <c r="E13" s="3"/>
      <c r="F13" s="3"/>
      <c r="G13" s="3"/>
      <c r="H13" s="3"/>
      <c r="I13" s="3"/>
      <c r="J13" s="8"/>
      <c r="K13" s="8"/>
      <c r="L13" s="3"/>
      <c r="M13" s="3"/>
      <c r="N13" s="3"/>
      <c r="O13" s="3"/>
      <c r="P13" s="3"/>
      <c r="Q13" s="3"/>
    </row>
    <row r="14" spans="1:17" x14ac:dyDescent="0.35">
      <c r="A14" s="3"/>
      <c r="B14" s="3"/>
      <c r="C14" s="3"/>
      <c r="D14" s="3"/>
      <c r="E14" s="3"/>
      <c r="F14" s="3"/>
      <c r="G14" s="3"/>
      <c r="H14" s="3"/>
      <c r="I14" s="3"/>
      <c r="J14" s="8"/>
      <c r="K14" s="8"/>
      <c r="L14" s="3"/>
      <c r="M14" s="3"/>
      <c r="N14" s="3"/>
      <c r="O14" s="3"/>
      <c r="P14" s="3"/>
      <c r="Q14" s="3"/>
    </row>
    <row r="15" spans="1:17" x14ac:dyDescent="0.35">
      <c r="A15" s="3"/>
      <c r="B15" s="3"/>
      <c r="C15" s="3"/>
      <c r="D15" s="3"/>
      <c r="E15" s="3"/>
      <c r="F15" s="3"/>
      <c r="G15" s="3"/>
      <c r="H15" s="3"/>
      <c r="I15" s="3"/>
      <c r="J15" s="8"/>
      <c r="K15" s="8"/>
      <c r="L15" s="3"/>
      <c r="M15" s="3"/>
      <c r="N15" s="3"/>
      <c r="O15" s="3"/>
      <c r="P15" s="3"/>
      <c r="Q15" s="3"/>
    </row>
    <row r="16" spans="1:17" x14ac:dyDescent="0.35">
      <c r="A16" s="3"/>
      <c r="B16" s="3"/>
      <c r="C16" s="3"/>
      <c r="D16" s="3"/>
      <c r="E16" s="3"/>
      <c r="F16" s="3"/>
      <c r="G16" s="3"/>
      <c r="H16" s="3"/>
      <c r="I16" s="3"/>
      <c r="J16" s="8"/>
      <c r="K16" s="8"/>
      <c r="L16" s="3"/>
      <c r="M16" s="3"/>
      <c r="N16" s="3"/>
      <c r="O16" s="3"/>
      <c r="P16" s="3"/>
      <c r="Q16" s="3"/>
    </row>
    <row r="17" spans="1:17" x14ac:dyDescent="0.35">
      <c r="A17" s="3"/>
      <c r="B17" s="3"/>
      <c r="C17" s="3"/>
      <c r="D17" s="3"/>
      <c r="E17" s="3"/>
      <c r="F17" s="3"/>
      <c r="G17" s="3"/>
      <c r="H17" s="3"/>
      <c r="I17" s="3"/>
      <c r="J17" s="8"/>
      <c r="K17" s="8"/>
      <c r="L17" s="3"/>
      <c r="M17" s="3"/>
      <c r="N17" s="3"/>
      <c r="O17" s="3"/>
      <c r="P17" s="3"/>
      <c r="Q17" s="3"/>
    </row>
    <row r="18" spans="1:17" x14ac:dyDescent="0.35">
      <c r="A18" s="3"/>
      <c r="B18" s="3"/>
      <c r="C18" s="3"/>
      <c r="D18" s="3"/>
      <c r="E18" s="3"/>
      <c r="F18" s="3"/>
      <c r="G18" s="3"/>
      <c r="H18" s="3"/>
      <c r="I18" s="3"/>
      <c r="J18" s="8"/>
      <c r="K18" s="8"/>
      <c r="L18" s="3"/>
      <c r="M18" s="3"/>
      <c r="N18" s="3"/>
      <c r="O18" s="3"/>
      <c r="P18" s="3"/>
      <c r="Q18" s="3"/>
    </row>
    <row r="19" spans="1:17" x14ac:dyDescent="0.35">
      <c r="A19" s="3"/>
      <c r="B19" s="3"/>
      <c r="C19" s="3"/>
      <c r="D19" s="3"/>
      <c r="E19" s="3"/>
      <c r="F19" s="3"/>
      <c r="G19" s="3"/>
      <c r="H19" s="3"/>
      <c r="I19" s="3"/>
      <c r="J19" s="8"/>
      <c r="K19" s="8"/>
      <c r="L19" s="3"/>
      <c r="M19" s="3"/>
      <c r="N19" s="3"/>
      <c r="O19" s="3"/>
      <c r="P19" s="3"/>
      <c r="Q19" s="3"/>
    </row>
    <row r="20" spans="1:17" x14ac:dyDescent="0.35">
      <c r="A20" s="3"/>
      <c r="B20" s="3"/>
      <c r="C20" s="3"/>
      <c r="D20" s="3"/>
      <c r="E20" s="3"/>
      <c r="F20" s="3"/>
      <c r="G20" s="3"/>
      <c r="H20" s="3"/>
      <c r="I20" s="3"/>
      <c r="J20" s="8"/>
      <c r="K20" s="8"/>
      <c r="L20" s="3"/>
      <c r="M20" s="3"/>
      <c r="N20" s="3"/>
      <c r="O20" s="3"/>
      <c r="P20" s="3"/>
      <c r="Q20" s="3"/>
    </row>
    <row r="21" spans="1:17" x14ac:dyDescent="0.35">
      <c r="A21" s="3"/>
      <c r="B21" s="3"/>
      <c r="C21" s="3"/>
      <c r="D21" s="3"/>
      <c r="E21" s="3"/>
      <c r="F21" s="3"/>
      <c r="G21" s="3"/>
      <c r="H21" s="3"/>
      <c r="I21" s="3"/>
      <c r="J21" s="8"/>
      <c r="K21" s="8"/>
      <c r="L21" s="3"/>
      <c r="M21" s="3"/>
      <c r="N21" s="3"/>
      <c r="O21" s="3"/>
      <c r="P21" s="3"/>
      <c r="Q21" s="3"/>
    </row>
    <row r="22" spans="1:17" x14ac:dyDescent="0.35">
      <c r="A22" s="3"/>
      <c r="B22" s="3"/>
      <c r="C22" s="3"/>
      <c r="D22" s="3"/>
      <c r="E22" s="3"/>
      <c r="F22" s="3"/>
      <c r="G22" s="3"/>
      <c r="H22" s="3"/>
      <c r="I22" s="3"/>
      <c r="J22" s="8"/>
      <c r="K22" s="8"/>
      <c r="L22" s="3"/>
      <c r="M22" s="3"/>
      <c r="N22" s="3"/>
      <c r="O22" s="3"/>
      <c r="P22" s="3"/>
      <c r="Q22" s="3"/>
    </row>
    <row r="23" spans="1:17" x14ac:dyDescent="0.35">
      <c r="A23" s="3"/>
      <c r="B23" s="3"/>
      <c r="C23" s="3"/>
      <c r="D23" s="3"/>
      <c r="E23" s="3"/>
      <c r="F23" s="3"/>
      <c r="G23" s="3"/>
      <c r="H23" s="3"/>
      <c r="I23" s="3"/>
      <c r="J23" s="8"/>
      <c r="K23" s="8"/>
      <c r="L23" s="3"/>
      <c r="M23" s="3"/>
      <c r="N23" s="3"/>
      <c r="O23" s="3"/>
      <c r="P23" s="3"/>
      <c r="Q23" s="3"/>
    </row>
    <row r="24" spans="1:17" x14ac:dyDescent="0.35">
      <c r="A24" s="3"/>
      <c r="B24" s="3"/>
      <c r="C24" s="3"/>
      <c r="D24" s="3"/>
      <c r="E24" s="3"/>
      <c r="F24" s="3"/>
      <c r="G24" s="3"/>
      <c r="H24" s="3"/>
      <c r="I24" s="3"/>
      <c r="J24" s="8"/>
      <c r="K24" s="8"/>
      <c r="L24" s="3"/>
      <c r="M24" s="3"/>
      <c r="N24" s="3"/>
      <c r="O24" s="3"/>
      <c r="P24" s="3"/>
      <c r="Q24" s="3"/>
    </row>
    <row r="25" spans="1:17" x14ac:dyDescent="0.35">
      <c r="A25" s="3"/>
      <c r="B25" s="3"/>
      <c r="C25" s="3"/>
      <c r="D25" s="3"/>
      <c r="E25" s="3"/>
      <c r="F25" s="3"/>
      <c r="G25" s="3"/>
      <c r="H25" s="3"/>
      <c r="I25" s="3"/>
      <c r="J25" s="8"/>
      <c r="K25" s="8"/>
      <c r="L25" s="3"/>
      <c r="M25" s="3"/>
      <c r="N25" s="3"/>
      <c r="O25" s="3"/>
      <c r="P25" s="3"/>
      <c r="Q25" s="3"/>
    </row>
    <row r="26" spans="1:17" x14ac:dyDescent="0.35">
      <c r="A26" s="3"/>
      <c r="B26" s="3"/>
      <c r="C26" s="3"/>
      <c r="D26" s="3"/>
      <c r="E26" s="3"/>
      <c r="F26" s="3"/>
      <c r="G26" s="3"/>
      <c r="H26" s="3"/>
      <c r="I26" s="3"/>
      <c r="J26" s="8"/>
      <c r="K26" s="8"/>
      <c r="L26" s="3"/>
      <c r="M26" s="3"/>
      <c r="N26" s="3"/>
      <c r="O26" s="3"/>
      <c r="P26" s="3"/>
      <c r="Q26" s="3"/>
    </row>
    <row r="27" spans="1:17" x14ac:dyDescent="0.35">
      <c r="A27" s="3"/>
      <c r="B27" s="3"/>
      <c r="C27" s="3"/>
      <c r="D27" s="3"/>
      <c r="E27" s="3"/>
      <c r="F27" s="3"/>
      <c r="G27" s="3"/>
      <c r="H27" s="3"/>
      <c r="I27" s="3"/>
      <c r="J27" s="8"/>
      <c r="K27" s="8"/>
      <c r="L27" s="3"/>
      <c r="M27" s="3"/>
      <c r="N27" s="3"/>
      <c r="O27" s="3"/>
      <c r="P27" s="3"/>
      <c r="Q27" s="3"/>
    </row>
    <row r="28" spans="1:17" x14ac:dyDescent="0.35">
      <c r="A28" s="3"/>
      <c r="B28" s="3"/>
      <c r="C28" s="3"/>
      <c r="D28" s="3"/>
      <c r="E28" s="3"/>
      <c r="F28" s="3"/>
      <c r="G28" s="3"/>
      <c r="H28" s="3"/>
      <c r="I28" s="3"/>
      <c r="J28" s="8"/>
      <c r="K28" s="8"/>
      <c r="L28" s="3"/>
      <c r="M28" s="3"/>
      <c r="N28" s="3"/>
      <c r="O28" s="3"/>
      <c r="P28" s="3"/>
      <c r="Q28" s="3"/>
    </row>
    <row r="29" spans="1:17" x14ac:dyDescent="0.35">
      <c r="A29" s="3"/>
      <c r="B29" s="3"/>
      <c r="C29" s="3"/>
      <c r="D29" s="3"/>
      <c r="E29" s="3"/>
      <c r="F29" s="3"/>
      <c r="G29" s="3"/>
      <c r="H29" s="3"/>
      <c r="I29" s="3"/>
      <c r="J29" s="8"/>
      <c r="K29" s="8"/>
      <c r="L29" s="3"/>
      <c r="M29" s="3"/>
      <c r="N29" s="3"/>
      <c r="O29" s="3"/>
      <c r="P29" s="3"/>
      <c r="Q29" s="3"/>
    </row>
    <row r="30" spans="1:17" x14ac:dyDescent="0.35">
      <c r="A30" s="3"/>
      <c r="B30" s="3"/>
      <c r="C30" s="3"/>
      <c r="D30" s="3"/>
      <c r="E30" s="3"/>
      <c r="F30" s="3"/>
      <c r="G30" s="3"/>
      <c r="H30" s="3"/>
      <c r="I30" s="3"/>
      <c r="J30" s="8"/>
      <c r="K30" s="8"/>
      <c r="L30" s="3"/>
      <c r="M30" s="3"/>
      <c r="N30" s="3"/>
      <c r="O30" s="3"/>
      <c r="P30" s="3"/>
      <c r="Q30" s="3"/>
    </row>
    <row r="31" spans="1:17" x14ac:dyDescent="0.35">
      <c r="A31" s="3"/>
      <c r="B31" s="3"/>
      <c r="C31" s="3"/>
      <c r="D31" s="3"/>
      <c r="E31" s="3"/>
      <c r="F31" s="3"/>
      <c r="G31" s="3"/>
      <c r="H31" s="3"/>
      <c r="I31" s="3"/>
      <c r="J31" s="8"/>
      <c r="K31" s="8"/>
      <c r="L31" s="3"/>
      <c r="M31" s="3"/>
      <c r="N31" s="3"/>
      <c r="O31" s="3"/>
      <c r="P31" s="3"/>
      <c r="Q31" s="3"/>
    </row>
    <row r="32" spans="1:17" x14ac:dyDescent="0.35">
      <c r="A32" s="3"/>
      <c r="B32" s="3"/>
      <c r="C32" s="3"/>
      <c r="D32" s="3"/>
      <c r="E32" s="3"/>
      <c r="F32" s="3"/>
      <c r="G32" s="3"/>
      <c r="H32" s="3"/>
      <c r="I32" s="3"/>
      <c r="J32" s="8"/>
      <c r="K32" s="8"/>
      <c r="L32" s="3"/>
      <c r="M32" s="3"/>
      <c r="N32" s="3"/>
      <c r="O32" s="3"/>
      <c r="P32" s="3"/>
      <c r="Q32" s="3"/>
    </row>
    <row r="33" spans="1:17" x14ac:dyDescent="0.35">
      <c r="A33" s="3"/>
      <c r="B33" s="3"/>
      <c r="C33" s="3"/>
      <c r="D33" s="3"/>
      <c r="E33" s="3"/>
      <c r="F33" s="3"/>
      <c r="G33" s="3"/>
      <c r="H33" s="3"/>
      <c r="I33" s="3"/>
      <c r="J33" s="8"/>
      <c r="K33" s="8"/>
      <c r="L33" s="3"/>
      <c r="M33" s="3"/>
      <c r="N33" s="3"/>
      <c r="O33" s="3"/>
      <c r="P33" s="3"/>
      <c r="Q33" s="3"/>
    </row>
    <row r="34" spans="1:17" x14ac:dyDescent="0.35">
      <c r="A34" s="3"/>
      <c r="B34" s="3"/>
      <c r="C34" s="3"/>
      <c r="D34" s="3"/>
      <c r="E34" s="3"/>
      <c r="F34" s="3"/>
      <c r="G34" s="3"/>
      <c r="H34" s="3"/>
      <c r="I34" s="3"/>
      <c r="J34" s="8"/>
      <c r="K34" s="8"/>
      <c r="L34" s="3"/>
      <c r="M34" s="3"/>
      <c r="N34" s="3"/>
      <c r="O34" s="3"/>
      <c r="P34" s="3"/>
      <c r="Q34" s="3"/>
    </row>
    <row r="35" spans="1:17" x14ac:dyDescent="0.35">
      <c r="A35" s="3"/>
      <c r="B35" s="3"/>
      <c r="C35" s="3"/>
      <c r="D35" s="3"/>
      <c r="E35" s="3"/>
      <c r="F35" s="3"/>
      <c r="G35" s="3"/>
      <c r="H35" s="3"/>
      <c r="I35" s="3"/>
      <c r="J35" s="8"/>
      <c r="K35" s="8"/>
      <c r="L35" s="3"/>
      <c r="M35" s="3"/>
      <c r="N35" s="3"/>
      <c r="O35" s="3"/>
      <c r="P35" s="3"/>
      <c r="Q35" s="3"/>
    </row>
    <row r="36" spans="1:17" x14ac:dyDescent="0.35">
      <c r="A36" s="3"/>
      <c r="B36" s="3"/>
      <c r="C36" s="3"/>
      <c r="D36" s="3"/>
      <c r="E36" s="3"/>
      <c r="F36" s="3"/>
      <c r="G36" s="3"/>
      <c r="H36" s="3"/>
      <c r="I36" s="3"/>
      <c r="J36" s="8"/>
      <c r="K36" s="8"/>
      <c r="L36" s="3"/>
      <c r="M36" s="3"/>
      <c r="N36" s="3"/>
      <c r="O36" s="3"/>
      <c r="P36" s="3"/>
      <c r="Q36" s="3"/>
    </row>
    <row r="37" spans="1:17" x14ac:dyDescent="0.35">
      <c r="A37" s="3"/>
      <c r="B37" s="3"/>
      <c r="C37" s="3"/>
      <c r="D37" s="3"/>
      <c r="E37" s="3"/>
      <c r="F37" s="3"/>
      <c r="G37" s="3"/>
      <c r="H37" s="3"/>
      <c r="I37" s="3"/>
      <c r="J37" s="8"/>
      <c r="K37" s="8"/>
      <c r="L37" s="3"/>
      <c r="M37" s="3"/>
      <c r="N37" s="3"/>
      <c r="O37" s="3"/>
      <c r="P37" s="3"/>
      <c r="Q37" s="3"/>
    </row>
    <row r="38" spans="1:17" x14ac:dyDescent="0.35">
      <c r="A38" s="3"/>
      <c r="B38" s="3"/>
      <c r="C38" s="3"/>
      <c r="D38" s="3"/>
      <c r="E38" s="3"/>
      <c r="F38" s="3"/>
      <c r="G38" s="3"/>
      <c r="H38" s="3"/>
      <c r="I38" s="3"/>
      <c r="J38" s="8"/>
      <c r="K38" s="8"/>
      <c r="L38" s="3"/>
      <c r="M38" s="3"/>
      <c r="N38" s="3"/>
      <c r="O38" s="3"/>
      <c r="P38" s="3"/>
      <c r="Q38" s="3"/>
    </row>
    <row r="39" spans="1:17" x14ac:dyDescent="0.35">
      <c r="A39" s="3"/>
      <c r="B39" s="3"/>
      <c r="C39" s="3"/>
      <c r="D39" s="3"/>
      <c r="E39" s="3"/>
      <c r="F39" s="3"/>
      <c r="G39" s="3"/>
      <c r="H39" s="3"/>
      <c r="I39" s="3"/>
      <c r="J39" s="8"/>
      <c r="K39" s="8"/>
      <c r="L39" s="3"/>
      <c r="M39" s="3"/>
      <c r="N39" s="3"/>
      <c r="O39" s="3"/>
      <c r="P39" s="3"/>
      <c r="Q39" s="3"/>
    </row>
    <row r="40" spans="1:17" x14ac:dyDescent="0.35">
      <c r="A40" s="3"/>
      <c r="B40" s="3"/>
      <c r="C40" s="3"/>
      <c r="D40" s="3"/>
      <c r="E40" s="3"/>
      <c r="F40" s="3"/>
      <c r="G40" s="3"/>
      <c r="H40" s="3"/>
      <c r="I40" s="3"/>
      <c r="J40" s="8"/>
      <c r="K40" s="8"/>
      <c r="L40" s="3"/>
      <c r="M40" s="3"/>
      <c r="N40" s="3"/>
      <c r="O40" s="3"/>
      <c r="P40" s="3"/>
      <c r="Q40" s="3"/>
    </row>
  </sheetData>
  <mergeCells count="2">
    <mergeCell ref="A1:H1"/>
    <mergeCell ref="A3:D3"/>
  </mergeCells>
  <dataValidations count="2">
    <dataValidation type="list" sqref="B6" xr:uid="{00000000-0002-0000-0200-000000000000}">
      <formula1>"Firewall,Endpoint,Server,EDR User,EDR Server,XDR User,XDR Server"</formula1>
    </dataValidation>
    <dataValidation type="list" sqref="B8" xr:uid="{00000000-0002-0000-0200-000001000000}">
      <formula1>"12,24,36"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workbookViewId="0">
      <selection activeCell="K2" sqref="K2"/>
    </sheetView>
  </sheetViews>
  <sheetFormatPr baseColWidth="10" defaultColWidth="8.7265625" defaultRowHeight="14.5" x14ac:dyDescent="0.35"/>
  <cols>
    <col min="1" max="1" width="9.90625" bestFit="1" customWidth="1"/>
    <col min="2" max="2" width="19" bestFit="1" customWidth="1"/>
    <col min="3" max="3" width="14.90625" bestFit="1" customWidth="1"/>
    <col min="4" max="4" width="7.453125" bestFit="1" customWidth="1"/>
    <col min="5" max="5" width="13" bestFit="1" customWidth="1"/>
    <col min="6" max="6" width="11.81640625" bestFit="1" customWidth="1"/>
    <col min="7" max="7" width="8.08984375" bestFit="1" customWidth="1"/>
    <col min="8" max="8" width="18" customWidth="1"/>
    <col min="9" max="9" width="14" customWidth="1"/>
    <col min="10" max="11" width="12" customWidth="1"/>
    <col min="12" max="13" width="16" customWidth="1"/>
    <col min="14" max="15" width="18" customWidth="1"/>
    <col min="16" max="16" width="16" customWidth="1"/>
    <col min="17" max="17" width="14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3" t="s">
        <v>17</v>
      </c>
      <c r="B2" s="3" t="s">
        <v>18</v>
      </c>
      <c r="C2" s="3" t="s">
        <v>19</v>
      </c>
      <c r="D2" s="3" t="s">
        <v>19</v>
      </c>
      <c r="E2" s="3" t="s">
        <v>20</v>
      </c>
      <c r="F2" s="3">
        <v>1</v>
      </c>
      <c r="G2" s="3">
        <v>20</v>
      </c>
      <c r="H2" s="3" t="s">
        <v>21</v>
      </c>
      <c r="I2" s="3">
        <v>0</v>
      </c>
      <c r="J2" s="4">
        <v>576.45000000000005</v>
      </c>
      <c r="K2" s="4">
        <v>409.27949999999998</v>
      </c>
      <c r="L2" s="3" t="s">
        <v>22</v>
      </c>
      <c r="M2" s="3" t="s">
        <v>23</v>
      </c>
      <c r="N2" s="5">
        <v>1600000</v>
      </c>
      <c r="O2" s="5">
        <v>40500</v>
      </c>
      <c r="P2" s="3">
        <v>20</v>
      </c>
      <c r="Q2" s="3" t="s">
        <v>24</v>
      </c>
    </row>
    <row r="3" spans="1:17" x14ac:dyDescent="0.35">
      <c r="A3" s="3" t="s">
        <v>17</v>
      </c>
      <c r="B3" s="3" t="s">
        <v>18</v>
      </c>
      <c r="C3" s="3" t="s">
        <v>19</v>
      </c>
      <c r="D3" s="3" t="s">
        <v>19</v>
      </c>
      <c r="E3" s="3" t="s">
        <v>20</v>
      </c>
      <c r="F3" s="3">
        <v>1</v>
      </c>
      <c r="G3" s="3">
        <v>20</v>
      </c>
      <c r="H3" s="3" t="s">
        <v>25</v>
      </c>
      <c r="I3" s="3">
        <v>12</v>
      </c>
      <c r="J3" s="4">
        <v>276.72000000000003</v>
      </c>
      <c r="K3" s="4">
        <v>196.47120000000001</v>
      </c>
      <c r="L3" s="3" t="s">
        <v>26</v>
      </c>
      <c r="M3" s="3" t="s">
        <v>23</v>
      </c>
      <c r="N3" s="5">
        <v>1600000</v>
      </c>
      <c r="O3" s="5">
        <v>40500</v>
      </c>
      <c r="P3" s="3">
        <v>20</v>
      </c>
      <c r="Q3" s="3" t="s">
        <v>24</v>
      </c>
    </row>
    <row r="4" spans="1:17" x14ac:dyDescent="0.35">
      <c r="A4" s="3" t="s">
        <v>17</v>
      </c>
      <c r="B4" s="3" t="s">
        <v>18</v>
      </c>
      <c r="C4" s="3" t="s">
        <v>19</v>
      </c>
      <c r="D4" s="3" t="s">
        <v>19</v>
      </c>
      <c r="E4" s="3" t="s">
        <v>20</v>
      </c>
      <c r="F4" s="3">
        <v>1</v>
      </c>
      <c r="G4" s="3">
        <v>20</v>
      </c>
      <c r="H4" s="3" t="s">
        <v>27</v>
      </c>
      <c r="I4" s="3">
        <v>24</v>
      </c>
      <c r="J4" s="4">
        <v>553.44000000000005</v>
      </c>
      <c r="K4" s="4">
        <v>392.94240000000002</v>
      </c>
      <c r="L4" s="3" t="s">
        <v>26</v>
      </c>
      <c r="M4" s="3" t="s">
        <v>23</v>
      </c>
      <c r="N4" s="5">
        <v>1600000</v>
      </c>
      <c r="O4" s="5">
        <v>40500</v>
      </c>
      <c r="P4" s="3">
        <v>20</v>
      </c>
      <c r="Q4" s="3" t="s">
        <v>24</v>
      </c>
    </row>
    <row r="5" spans="1:17" x14ac:dyDescent="0.35">
      <c r="A5" s="3" t="s">
        <v>17</v>
      </c>
      <c r="B5" s="3" t="s">
        <v>18</v>
      </c>
      <c r="C5" s="3" t="s">
        <v>19</v>
      </c>
      <c r="D5" s="3" t="s">
        <v>19</v>
      </c>
      <c r="E5" s="3" t="s">
        <v>20</v>
      </c>
      <c r="F5" s="3">
        <v>1</v>
      </c>
      <c r="G5" s="3">
        <v>20</v>
      </c>
      <c r="H5" s="3" t="s">
        <v>28</v>
      </c>
      <c r="I5" s="3">
        <v>36</v>
      </c>
      <c r="J5" s="4">
        <v>830.16</v>
      </c>
      <c r="K5" s="4">
        <v>589.41359999999997</v>
      </c>
      <c r="L5" s="3" t="s">
        <v>26</v>
      </c>
      <c r="M5" s="3" t="s">
        <v>23</v>
      </c>
      <c r="N5" s="5">
        <v>1600000</v>
      </c>
      <c r="O5" s="5">
        <v>40500</v>
      </c>
      <c r="P5" s="3">
        <v>20</v>
      </c>
      <c r="Q5" s="3" t="s">
        <v>24</v>
      </c>
    </row>
    <row r="6" spans="1:17" x14ac:dyDescent="0.35">
      <c r="A6" s="3" t="s">
        <v>17</v>
      </c>
      <c r="B6" s="3" t="s">
        <v>18</v>
      </c>
      <c r="C6" s="3" t="s">
        <v>29</v>
      </c>
      <c r="D6" s="3" t="s">
        <v>29</v>
      </c>
      <c r="E6" s="3" t="s">
        <v>30</v>
      </c>
      <c r="F6" s="3">
        <v>1</v>
      </c>
      <c r="G6" s="3">
        <v>40</v>
      </c>
      <c r="H6" s="3" t="s">
        <v>31</v>
      </c>
      <c r="I6" s="3">
        <v>0</v>
      </c>
      <c r="J6" s="4">
        <v>757.05</v>
      </c>
      <c r="K6" s="4">
        <v>537.50549999999998</v>
      </c>
      <c r="L6" s="3" t="s">
        <v>22</v>
      </c>
      <c r="M6" s="3" t="s">
        <v>32</v>
      </c>
      <c r="N6" s="5">
        <v>4190000</v>
      </c>
      <c r="O6" s="5">
        <v>53000</v>
      </c>
      <c r="P6" s="3">
        <v>40</v>
      </c>
      <c r="Q6" s="3" t="s">
        <v>24</v>
      </c>
    </row>
    <row r="7" spans="1:17" x14ac:dyDescent="0.35">
      <c r="A7" s="3" t="s">
        <v>17</v>
      </c>
      <c r="B7" s="3" t="s">
        <v>18</v>
      </c>
      <c r="C7" s="3" t="s">
        <v>29</v>
      </c>
      <c r="D7" s="3" t="s">
        <v>29</v>
      </c>
      <c r="E7" s="3" t="s">
        <v>30</v>
      </c>
      <c r="F7" s="3">
        <v>1</v>
      </c>
      <c r="G7" s="3">
        <v>40</v>
      </c>
      <c r="H7" s="3" t="s">
        <v>33</v>
      </c>
      <c r="I7" s="3">
        <v>12</v>
      </c>
      <c r="J7" s="4">
        <v>378.96</v>
      </c>
      <c r="K7" s="4">
        <v>269.0616</v>
      </c>
      <c r="L7" s="3" t="s">
        <v>26</v>
      </c>
      <c r="M7" s="3" t="s">
        <v>32</v>
      </c>
      <c r="N7" s="5">
        <v>4190000</v>
      </c>
      <c r="O7" s="5">
        <v>53000</v>
      </c>
      <c r="P7" s="3">
        <v>40</v>
      </c>
      <c r="Q7" s="3" t="s">
        <v>24</v>
      </c>
    </row>
    <row r="8" spans="1:17" x14ac:dyDescent="0.35">
      <c r="A8" s="3" t="s">
        <v>17</v>
      </c>
      <c r="B8" s="3" t="s">
        <v>18</v>
      </c>
      <c r="C8" s="3" t="s">
        <v>29</v>
      </c>
      <c r="D8" s="3" t="s">
        <v>29</v>
      </c>
      <c r="E8" s="3" t="s">
        <v>30</v>
      </c>
      <c r="F8" s="3">
        <v>1</v>
      </c>
      <c r="G8" s="3">
        <v>40</v>
      </c>
      <c r="H8" s="3" t="s">
        <v>34</v>
      </c>
      <c r="I8" s="3">
        <v>24</v>
      </c>
      <c r="J8" s="4">
        <v>757.92</v>
      </c>
      <c r="K8" s="4">
        <v>538.1232</v>
      </c>
      <c r="L8" s="3" t="s">
        <v>26</v>
      </c>
      <c r="M8" s="3" t="s">
        <v>32</v>
      </c>
      <c r="N8" s="5">
        <v>4190000</v>
      </c>
      <c r="O8" s="5">
        <v>53000</v>
      </c>
      <c r="P8" s="3">
        <v>40</v>
      </c>
      <c r="Q8" s="3" t="s">
        <v>24</v>
      </c>
    </row>
    <row r="9" spans="1:17" x14ac:dyDescent="0.35">
      <c r="A9" s="3" t="s">
        <v>17</v>
      </c>
      <c r="B9" s="3" t="s">
        <v>18</v>
      </c>
      <c r="C9" s="3" t="s">
        <v>29</v>
      </c>
      <c r="D9" s="3" t="s">
        <v>29</v>
      </c>
      <c r="E9" s="3" t="s">
        <v>30</v>
      </c>
      <c r="F9" s="3">
        <v>1</v>
      </c>
      <c r="G9" s="3">
        <v>40</v>
      </c>
      <c r="H9" s="3" t="s">
        <v>35</v>
      </c>
      <c r="I9" s="3">
        <v>36</v>
      </c>
      <c r="J9" s="4">
        <v>1136.8800000000001</v>
      </c>
      <c r="K9" s="4">
        <v>807.1848</v>
      </c>
      <c r="L9" s="3" t="s">
        <v>26</v>
      </c>
      <c r="M9" s="3" t="s">
        <v>32</v>
      </c>
      <c r="N9" s="5">
        <v>4190000</v>
      </c>
      <c r="O9" s="5">
        <v>53000</v>
      </c>
      <c r="P9" s="3">
        <v>40</v>
      </c>
      <c r="Q9" s="3" t="s">
        <v>24</v>
      </c>
    </row>
    <row r="10" spans="1:17" x14ac:dyDescent="0.35">
      <c r="A10" s="3" t="s">
        <v>17</v>
      </c>
      <c r="B10" s="3" t="s">
        <v>18</v>
      </c>
      <c r="C10" s="3" t="s">
        <v>36</v>
      </c>
      <c r="D10" s="3" t="s">
        <v>36</v>
      </c>
      <c r="E10" s="3" t="s">
        <v>37</v>
      </c>
      <c r="F10" s="3">
        <v>1</v>
      </c>
      <c r="G10" s="3">
        <v>70</v>
      </c>
      <c r="H10" s="3" t="s">
        <v>38</v>
      </c>
      <c r="I10" s="3">
        <v>0</v>
      </c>
      <c r="J10" s="4">
        <v>965.48</v>
      </c>
      <c r="K10" s="4">
        <v>685.49079999999992</v>
      </c>
      <c r="L10" s="3" t="s">
        <v>22</v>
      </c>
      <c r="M10" s="3" t="s">
        <v>39</v>
      </c>
      <c r="N10" s="5">
        <v>5500000</v>
      </c>
      <c r="O10" s="5">
        <v>62500</v>
      </c>
      <c r="P10" s="3">
        <v>70</v>
      </c>
      <c r="Q10" s="3" t="s">
        <v>24</v>
      </c>
    </row>
    <row r="11" spans="1:17" x14ac:dyDescent="0.35">
      <c r="A11" s="3" t="s">
        <v>17</v>
      </c>
      <c r="B11" s="3" t="s">
        <v>18</v>
      </c>
      <c r="C11" s="3" t="s">
        <v>36</v>
      </c>
      <c r="D11" s="3" t="s">
        <v>36</v>
      </c>
      <c r="E11" s="3" t="s">
        <v>37</v>
      </c>
      <c r="F11" s="3">
        <v>1</v>
      </c>
      <c r="G11" s="3">
        <v>70</v>
      </c>
      <c r="H11" s="3" t="s">
        <v>40</v>
      </c>
      <c r="I11" s="3">
        <v>12</v>
      </c>
      <c r="J11" s="4">
        <v>605.28</v>
      </c>
      <c r="K11" s="4">
        <v>429.74879999999996</v>
      </c>
      <c r="L11" s="3" t="s">
        <v>26</v>
      </c>
      <c r="M11" s="3" t="s">
        <v>39</v>
      </c>
      <c r="N11" s="5">
        <v>5500000</v>
      </c>
      <c r="O11" s="5">
        <v>62500</v>
      </c>
      <c r="P11" s="3">
        <v>70</v>
      </c>
      <c r="Q11" s="3" t="s">
        <v>24</v>
      </c>
    </row>
    <row r="12" spans="1:17" x14ac:dyDescent="0.35">
      <c r="A12" s="3" t="s">
        <v>17</v>
      </c>
      <c r="B12" s="3" t="s">
        <v>18</v>
      </c>
      <c r="C12" s="3" t="s">
        <v>36</v>
      </c>
      <c r="D12" s="3" t="s">
        <v>36</v>
      </c>
      <c r="E12" s="3" t="s">
        <v>37</v>
      </c>
      <c r="F12" s="3">
        <v>1</v>
      </c>
      <c r="G12" s="3">
        <v>70</v>
      </c>
      <c r="H12" s="3" t="s">
        <v>41</v>
      </c>
      <c r="I12" s="3">
        <v>24</v>
      </c>
      <c r="J12" s="4">
        <v>1210.56</v>
      </c>
      <c r="K12" s="4">
        <v>859.49759999999992</v>
      </c>
      <c r="L12" s="3" t="s">
        <v>26</v>
      </c>
      <c r="M12" s="3" t="s">
        <v>39</v>
      </c>
      <c r="N12" s="5">
        <v>5500000</v>
      </c>
      <c r="O12" s="5">
        <v>62500</v>
      </c>
      <c r="P12" s="3">
        <v>70</v>
      </c>
      <c r="Q12" s="3" t="s">
        <v>24</v>
      </c>
    </row>
    <row r="13" spans="1:17" x14ac:dyDescent="0.35">
      <c r="A13" s="3" t="s">
        <v>17</v>
      </c>
      <c r="B13" s="3" t="s">
        <v>18</v>
      </c>
      <c r="C13" s="3" t="s">
        <v>36</v>
      </c>
      <c r="D13" s="3" t="s">
        <v>36</v>
      </c>
      <c r="E13" s="3" t="s">
        <v>37</v>
      </c>
      <c r="F13" s="3">
        <v>1</v>
      </c>
      <c r="G13" s="3">
        <v>70</v>
      </c>
      <c r="H13" s="3" t="s">
        <v>42</v>
      </c>
      <c r="I13" s="3">
        <v>36</v>
      </c>
      <c r="J13" s="4">
        <v>1815.84</v>
      </c>
      <c r="K13" s="4">
        <v>1095.8594399999997</v>
      </c>
      <c r="L13" s="3" t="s">
        <v>26</v>
      </c>
      <c r="M13" s="3" t="s">
        <v>39</v>
      </c>
      <c r="N13" s="5">
        <v>5500000</v>
      </c>
      <c r="O13" s="5">
        <v>62500</v>
      </c>
      <c r="P13" s="3">
        <v>70</v>
      </c>
      <c r="Q13" s="3" t="s">
        <v>24</v>
      </c>
    </row>
    <row r="14" spans="1:17" x14ac:dyDescent="0.35">
      <c r="A14" s="3" t="s">
        <v>17</v>
      </c>
      <c r="B14" s="3" t="s">
        <v>18</v>
      </c>
      <c r="C14" s="3" t="s">
        <v>43</v>
      </c>
      <c r="D14" s="3" t="s">
        <v>43</v>
      </c>
      <c r="E14" s="3" t="s">
        <v>44</v>
      </c>
      <c r="F14" s="3">
        <v>1</v>
      </c>
      <c r="G14" s="3">
        <v>100</v>
      </c>
      <c r="H14" s="3" t="s">
        <v>45</v>
      </c>
      <c r="I14" s="3">
        <v>0</v>
      </c>
      <c r="J14" s="4">
        <v>1312.5</v>
      </c>
      <c r="K14" s="4">
        <v>792.09375</v>
      </c>
      <c r="L14" s="3" t="s">
        <v>22</v>
      </c>
      <c r="M14" s="3" t="s">
        <v>46</v>
      </c>
      <c r="N14" s="5">
        <v>6000000</v>
      </c>
      <c r="O14" s="5">
        <v>72250</v>
      </c>
      <c r="P14" s="3">
        <v>100</v>
      </c>
      <c r="Q14" s="3" t="s">
        <v>24</v>
      </c>
    </row>
    <row r="15" spans="1:17" x14ac:dyDescent="0.35">
      <c r="A15" s="3" t="s">
        <v>17</v>
      </c>
      <c r="B15" s="3" t="s">
        <v>18</v>
      </c>
      <c r="C15" s="3" t="s">
        <v>43</v>
      </c>
      <c r="D15" s="3" t="s">
        <v>43</v>
      </c>
      <c r="E15" s="3" t="s">
        <v>44</v>
      </c>
      <c r="F15" s="3">
        <v>1</v>
      </c>
      <c r="G15" s="3">
        <v>100</v>
      </c>
      <c r="H15" s="3" t="s">
        <v>47</v>
      </c>
      <c r="I15" s="3">
        <v>12</v>
      </c>
      <c r="J15" s="4">
        <v>804.84</v>
      </c>
      <c r="K15" s="4">
        <v>485.72094000000004</v>
      </c>
      <c r="L15" s="3" t="s">
        <v>26</v>
      </c>
      <c r="M15" s="3" t="s">
        <v>46</v>
      </c>
      <c r="N15" s="5">
        <v>6000000</v>
      </c>
      <c r="O15" s="5">
        <v>72250</v>
      </c>
      <c r="P15" s="3">
        <v>100</v>
      </c>
      <c r="Q15" s="3" t="s">
        <v>24</v>
      </c>
    </row>
    <row r="16" spans="1:17" x14ac:dyDescent="0.35">
      <c r="A16" s="3" t="s">
        <v>17</v>
      </c>
      <c r="B16" s="3" t="s">
        <v>18</v>
      </c>
      <c r="C16" s="3" t="s">
        <v>43</v>
      </c>
      <c r="D16" s="3" t="s">
        <v>43</v>
      </c>
      <c r="E16" s="3" t="s">
        <v>44</v>
      </c>
      <c r="F16" s="3">
        <v>1</v>
      </c>
      <c r="G16" s="3">
        <v>100</v>
      </c>
      <c r="H16" s="3" t="s">
        <v>48</v>
      </c>
      <c r="I16" s="3">
        <v>24</v>
      </c>
      <c r="J16" s="4">
        <v>1609.68</v>
      </c>
      <c r="K16" s="4">
        <v>971.44188000000008</v>
      </c>
      <c r="L16" s="3" t="s">
        <v>26</v>
      </c>
      <c r="M16" s="3" t="s">
        <v>46</v>
      </c>
      <c r="N16" s="5">
        <v>6000000</v>
      </c>
      <c r="O16" s="5">
        <v>72250</v>
      </c>
      <c r="P16" s="3">
        <v>100</v>
      </c>
      <c r="Q16" s="3" t="s">
        <v>24</v>
      </c>
    </row>
    <row r="17" spans="1:17" x14ac:dyDescent="0.35">
      <c r="A17" s="3" t="s">
        <v>17</v>
      </c>
      <c r="B17" s="3" t="s">
        <v>18</v>
      </c>
      <c r="C17" s="3" t="s">
        <v>43</v>
      </c>
      <c r="D17" s="3" t="s">
        <v>43</v>
      </c>
      <c r="E17" s="3" t="s">
        <v>44</v>
      </c>
      <c r="F17" s="3">
        <v>1</v>
      </c>
      <c r="G17" s="3">
        <v>100</v>
      </c>
      <c r="H17" s="3" t="s">
        <v>49</v>
      </c>
      <c r="I17" s="3">
        <v>36</v>
      </c>
      <c r="J17" s="4">
        <v>2414.52</v>
      </c>
      <c r="K17" s="4">
        <v>1457.1628199999998</v>
      </c>
      <c r="L17" s="3" t="s">
        <v>26</v>
      </c>
      <c r="M17" s="3" t="s">
        <v>46</v>
      </c>
      <c r="N17" s="5">
        <v>6000000</v>
      </c>
      <c r="O17" s="5">
        <v>72250</v>
      </c>
      <c r="P17" s="3">
        <v>100</v>
      </c>
      <c r="Q17" s="3" t="s">
        <v>24</v>
      </c>
    </row>
    <row r="18" spans="1:17" x14ac:dyDescent="0.35">
      <c r="A18" s="3" t="s">
        <v>17</v>
      </c>
      <c r="B18" s="3" t="s">
        <v>18</v>
      </c>
      <c r="C18" s="3" t="s">
        <v>50</v>
      </c>
      <c r="D18" s="3" t="s">
        <v>50</v>
      </c>
      <c r="E18" s="3" t="s">
        <v>51</v>
      </c>
      <c r="F18" s="3">
        <v>1</v>
      </c>
      <c r="G18" s="3">
        <v>200</v>
      </c>
      <c r="H18" s="3" t="s">
        <v>52</v>
      </c>
      <c r="I18" s="3">
        <v>0</v>
      </c>
      <c r="J18" s="4">
        <v>1659.53</v>
      </c>
      <c r="K18" s="4">
        <v>1001.526355</v>
      </c>
      <c r="L18" s="3" t="s">
        <v>22</v>
      </c>
      <c r="M18" s="3" t="s">
        <v>46</v>
      </c>
      <c r="N18" s="5">
        <v>6550000</v>
      </c>
      <c r="O18" s="5">
        <v>105000</v>
      </c>
      <c r="P18" s="3">
        <v>200</v>
      </c>
      <c r="Q18" s="3" t="s">
        <v>24</v>
      </c>
    </row>
    <row r="19" spans="1:17" x14ac:dyDescent="0.35">
      <c r="A19" s="3" t="s">
        <v>17</v>
      </c>
      <c r="B19" s="3" t="s">
        <v>18</v>
      </c>
      <c r="C19" s="3" t="s">
        <v>50</v>
      </c>
      <c r="D19" s="3" t="s">
        <v>50</v>
      </c>
      <c r="E19" s="3" t="s">
        <v>51</v>
      </c>
      <c r="F19" s="3">
        <v>1</v>
      </c>
      <c r="G19" s="3">
        <v>200</v>
      </c>
      <c r="H19" s="3" t="s">
        <v>53</v>
      </c>
      <c r="I19" s="3">
        <v>12</v>
      </c>
      <c r="J19" s="4">
        <v>1269</v>
      </c>
      <c r="K19" s="4">
        <v>765.8415</v>
      </c>
      <c r="L19" s="3" t="s">
        <v>26</v>
      </c>
      <c r="M19" s="3" t="s">
        <v>46</v>
      </c>
      <c r="N19" s="5">
        <v>6550000</v>
      </c>
      <c r="O19" s="5">
        <v>105000</v>
      </c>
      <c r="P19" s="3">
        <v>200</v>
      </c>
      <c r="Q19" s="3" t="s">
        <v>24</v>
      </c>
    </row>
    <row r="20" spans="1:17" x14ac:dyDescent="0.35">
      <c r="A20" s="3" t="s">
        <v>17</v>
      </c>
      <c r="B20" s="3" t="s">
        <v>18</v>
      </c>
      <c r="C20" s="3" t="s">
        <v>50</v>
      </c>
      <c r="D20" s="3" t="s">
        <v>50</v>
      </c>
      <c r="E20" s="3" t="s">
        <v>51</v>
      </c>
      <c r="F20" s="3">
        <v>1</v>
      </c>
      <c r="G20" s="3">
        <v>200</v>
      </c>
      <c r="H20" s="3" t="s">
        <v>54</v>
      </c>
      <c r="I20" s="3">
        <v>24</v>
      </c>
      <c r="J20" s="4">
        <v>2538</v>
      </c>
      <c r="K20" s="4">
        <v>1531.683</v>
      </c>
      <c r="L20" s="3" t="s">
        <v>26</v>
      </c>
      <c r="M20" s="3" t="s">
        <v>46</v>
      </c>
      <c r="N20" s="5">
        <v>6550000</v>
      </c>
      <c r="O20" s="5">
        <v>105000</v>
      </c>
      <c r="P20" s="3">
        <v>200</v>
      </c>
      <c r="Q20" s="3" t="s">
        <v>24</v>
      </c>
    </row>
    <row r="21" spans="1:17" x14ac:dyDescent="0.35">
      <c r="A21" s="3" t="s">
        <v>17</v>
      </c>
      <c r="B21" s="3" t="s">
        <v>18</v>
      </c>
      <c r="C21" s="3" t="s">
        <v>50</v>
      </c>
      <c r="D21" s="3" t="s">
        <v>50</v>
      </c>
      <c r="E21" s="3" t="s">
        <v>51</v>
      </c>
      <c r="F21" s="3">
        <v>1</v>
      </c>
      <c r="G21" s="3">
        <v>200</v>
      </c>
      <c r="H21" s="3" t="s">
        <v>55</v>
      </c>
      <c r="I21" s="3">
        <v>36</v>
      </c>
      <c r="J21" s="4">
        <v>3807</v>
      </c>
      <c r="K21" s="4">
        <v>2297.5245</v>
      </c>
      <c r="L21" s="3" t="s">
        <v>26</v>
      </c>
      <c r="M21" s="3" t="s">
        <v>46</v>
      </c>
      <c r="N21" s="5">
        <v>6550000</v>
      </c>
      <c r="O21" s="5">
        <v>105000</v>
      </c>
      <c r="P21" s="3">
        <v>200</v>
      </c>
      <c r="Q21" s="3" t="s">
        <v>24</v>
      </c>
    </row>
    <row r="22" spans="1:17" x14ac:dyDescent="0.35">
      <c r="A22" s="3" t="s">
        <v>56</v>
      </c>
      <c r="B22" s="3" t="s">
        <v>57</v>
      </c>
      <c r="C22" s="3" t="s">
        <v>58</v>
      </c>
      <c r="D22" s="3" t="s">
        <v>59</v>
      </c>
      <c r="E22" s="3" t="s">
        <v>60</v>
      </c>
      <c r="F22" s="3">
        <v>1</v>
      </c>
      <c r="G22" s="3">
        <v>100</v>
      </c>
      <c r="H22" s="3"/>
      <c r="I22" s="3">
        <v>12</v>
      </c>
      <c r="J22" s="4">
        <v>26.04</v>
      </c>
      <c r="K22" s="4"/>
      <c r="L22" s="3" t="s">
        <v>61</v>
      </c>
      <c r="M22" s="3"/>
      <c r="N22" s="5"/>
      <c r="O22" s="5"/>
      <c r="P22" s="3"/>
      <c r="Q22" s="3" t="s">
        <v>24</v>
      </c>
    </row>
    <row r="23" spans="1:17" x14ac:dyDescent="0.35">
      <c r="A23" s="3" t="s">
        <v>62</v>
      </c>
      <c r="B23" s="3" t="s">
        <v>63</v>
      </c>
      <c r="C23" s="3" t="s">
        <v>64</v>
      </c>
      <c r="D23" s="3" t="s">
        <v>59</v>
      </c>
      <c r="E23" s="3" t="s">
        <v>60</v>
      </c>
      <c r="F23" s="3">
        <v>1</v>
      </c>
      <c r="G23" s="3">
        <v>100</v>
      </c>
      <c r="H23" s="3"/>
      <c r="I23" s="3">
        <v>12</v>
      </c>
      <c r="J23" s="4">
        <v>26.04</v>
      </c>
      <c r="K23" s="4"/>
      <c r="L23" s="3" t="s">
        <v>61</v>
      </c>
      <c r="M23" s="3"/>
      <c r="N23" s="5"/>
      <c r="O23" s="5"/>
      <c r="P23" s="3"/>
      <c r="Q23" s="3" t="s">
        <v>24</v>
      </c>
    </row>
    <row r="24" spans="1:17" x14ac:dyDescent="0.35">
      <c r="A24" s="3" t="s">
        <v>56</v>
      </c>
      <c r="B24" s="3" t="s">
        <v>57</v>
      </c>
      <c r="C24" s="3" t="s">
        <v>58</v>
      </c>
      <c r="D24" s="3" t="s">
        <v>59</v>
      </c>
      <c r="E24" s="3" t="s">
        <v>60</v>
      </c>
      <c r="F24" s="3">
        <v>1</v>
      </c>
      <c r="G24" s="3">
        <v>100</v>
      </c>
      <c r="H24" s="3"/>
      <c r="I24" s="3">
        <v>24</v>
      </c>
      <c r="J24" s="4">
        <v>52.08</v>
      </c>
      <c r="K24" s="4"/>
      <c r="L24" s="3" t="s">
        <v>61</v>
      </c>
      <c r="M24" s="3"/>
      <c r="N24" s="5"/>
      <c r="O24" s="5"/>
      <c r="P24" s="3"/>
      <c r="Q24" s="3" t="s">
        <v>24</v>
      </c>
    </row>
    <row r="25" spans="1:17" x14ac:dyDescent="0.35">
      <c r="A25" s="3" t="s">
        <v>62</v>
      </c>
      <c r="B25" s="3" t="s">
        <v>63</v>
      </c>
      <c r="C25" s="3" t="s">
        <v>64</v>
      </c>
      <c r="D25" s="3" t="s">
        <v>59</v>
      </c>
      <c r="E25" s="3" t="s">
        <v>60</v>
      </c>
      <c r="F25" s="3">
        <v>1</v>
      </c>
      <c r="G25" s="3">
        <v>100</v>
      </c>
      <c r="H25" s="3"/>
      <c r="I25" s="3">
        <v>24</v>
      </c>
      <c r="J25" s="4">
        <v>52.08</v>
      </c>
      <c r="K25" s="4"/>
      <c r="L25" s="3" t="s">
        <v>61</v>
      </c>
      <c r="M25" s="3"/>
      <c r="N25" s="5"/>
      <c r="O25" s="5"/>
      <c r="P25" s="3"/>
      <c r="Q25" s="3" t="s">
        <v>24</v>
      </c>
    </row>
    <row r="26" spans="1:17" x14ac:dyDescent="0.35">
      <c r="A26" s="3" t="s">
        <v>56</v>
      </c>
      <c r="B26" s="3" t="s">
        <v>57</v>
      </c>
      <c r="C26" s="3" t="s">
        <v>58</v>
      </c>
      <c r="D26" s="3" t="s">
        <v>59</v>
      </c>
      <c r="E26" s="3" t="s">
        <v>60</v>
      </c>
      <c r="F26" s="3">
        <v>1</v>
      </c>
      <c r="G26" s="3">
        <v>100</v>
      </c>
      <c r="H26" s="3"/>
      <c r="I26" s="3">
        <v>36</v>
      </c>
      <c r="J26" s="4">
        <v>78.12</v>
      </c>
      <c r="K26" s="4"/>
      <c r="L26" s="3" t="s">
        <v>61</v>
      </c>
      <c r="M26" s="3"/>
      <c r="N26" s="5"/>
      <c r="O26" s="5"/>
      <c r="P26" s="3"/>
      <c r="Q26" s="3" t="s">
        <v>24</v>
      </c>
    </row>
    <row r="27" spans="1:17" x14ac:dyDescent="0.35">
      <c r="A27" s="3" t="s">
        <v>62</v>
      </c>
      <c r="B27" s="3" t="s">
        <v>63</v>
      </c>
      <c r="C27" s="3" t="s">
        <v>64</v>
      </c>
      <c r="D27" s="3" t="s">
        <v>59</v>
      </c>
      <c r="E27" s="3" t="s">
        <v>60</v>
      </c>
      <c r="F27" s="3">
        <v>1</v>
      </c>
      <c r="G27" s="3">
        <v>100</v>
      </c>
      <c r="H27" s="3"/>
      <c r="I27" s="3">
        <v>36</v>
      </c>
      <c r="J27" s="4">
        <v>78.12</v>
      </c>
      <c r="K27" s="4"/>
      <c r="L27" s="3" t="s">
        <v>61</v>
      </c>
      <c r="M27" s="3"/>
      <c r="N27" s="5"/>
      <c r="O27" s="5"/>
      <c r="P27" s="3"/>
      <c r="Q27" s="3" t="s">
        <v>24</v>
      </c>
    </row>
    <row r="28" spans="1:17" x14ac:dyDescent="0.35">
      <c r="A28" s="3" t="s">
        <v>56</v>
      </c>
      <c r="B28" s="3" t="s">
        <v>57</v>
      </c>
      <c r="C28" s="3" t="s">
        <v>58</v>
      </c>
      <c r="D28" s="3" t="s">
        <v>59</v>
      </c>
      <c r="E28" s="3" t="s">
        <v>65</v>
      </c>
      <c r="F28" s="3">
        <v>101</v>
      </c>
      <c r="G28" s="3">
        <v>200</v>
      </c>
      <c r="H28" s="3" t="s">
        <v>66</v>
      </c>
      <c r="I28" s="3">
        <v>12</v>
      </c>
      <c r="J28" s="4">
        <v>33.35</v>
      </c>
      <c r="K28" s="4">
        <v>17.342000000000002</v>
      </c>
      <c r="L28" s="3" t="s">
        <v>61</v>
      </c>
      <c r="M28" s="3"/>
      <c r="N28" s="5"/>
      <c r="O28" s="5"/>
      <c r="P28" s="3"/>
      <c r="Q28" s="3" t="s">
        <v>24</v>
      </c>
    </row>
    <row r="29" spans="1:17" x14ac:dyDescent="0.35">
      <c r="A29" s="3" t="s">
        <v>62</v>
      </c>
      <c r="B29" s="3" t="s">
        <v>63</v>
      </c>
      <c r="C29" s="3" t="s">
        <v>64</v>
      </c>
      <c r="D29" s="3" t="s">
        <v>59</v>
      </c>
      <c r="E29" s="3" t="s">
        <v>65</v>
      </c>
      <c r="F29" s="3">
        <v>101</v>
      </c>
      <c r="G29" s="3">
        <v>200</v>
      </c>
      <c r="H29" s="3" t="s">
        <v>67</v>
      </c>
      <c r="I29" s="3">
        <v>12</v>
      </c>
      <c r="J29" s="4">
        <v>53.29</v>
      </c>
      <c r="K29" s="4">
        <v>27.710800000000003</v>
      </c>
      <c r="L29" s="3" t="s">
        <v>61</v>
      </c>
      <c r="M29" s="3"/>
      <c r="N29" s="5"/>
      <c r="O29" s="5"/>
      <c r="P29" s="3"/>
      <c r="Q29" s="3" t="s">
        <v>24</v>
      </c>
    </row>
    <row r="30" spans="1:17" x14ac:dyDescent="0.35">
      <c r="A30" s="3" t="s">
        <v>56</v>
      </c>
      <c r="B30" s="3" t="s">
        <v>57</v>
      </c>
      <c r="C30" s="3" t="s">
        <v>58</v>
      </c>
      <c r="D30" s="3" t="s">
        <v>59</v>
      </c>
      <c r="E30" s="3" t="s">
        <v>65</v>
      </c>
      <c r="F30" s="3">
        <v>101</v>
      </c>
      <c r="G30" s="3">
        <v>200</v>
      </c>
      <c r="H30" s="3" t="s">
        <v>68</v>
      </c>
      <c r="I30" s="3">
        <v>24</v>
      </c>
      <c r="J30" s="4">
        <v>66.7</v>
      </c>
      <c r="K30" s="4">
        <v>34.684000000000005</v>
      </c>
      <c r="L30" s="3" t="s">
        <v>61</v>
      </c>
      <c r="M30" s="3"/>
      <c r="N30" s="5"/>
      <c r="O30" s="5"/>
      <c r="P30" s="3"/>
      <c r="Q30" s="3" t="s">
        <v>24</v>
      </c>
    </row>
    <row r="31" spans="1:17" x14ac:dyDescent="0.35">
      <c r="A31" s="3" t="s">
        <v>62</v>
      </c>
      <c r="B31" s="3" t="s">
        <v>63</v>
      </c>
      <c r="C31" s="3" t="s">
        <v>64</v>
      </c>
      <c r="D31" s="3" t="s">
        <v>59</v>
      </c>
      <c r="E31" s="3" t="s">
        <v>65</v>
      </c>
      <c r="F31" s="3">
        <v>101</v>
      </c>
      <c r="G31" s="3">
        <v>200</v>
      </c>
      <c r="H31" s="3" t="s">
        <v>69</v>
      </c>
      <c r="I31" s="3">
        <v>24</v>
      </c>
      <c r="J31" s="4">
        <v>106.57</v>
      </c>
      <c r="K31" s="4">
        <v>55.416400000000003</v>
      </c>
      <c r="L31" s="3" t="s">
        <v>61</v>
      </c>
      <c r="M31" s="3"/>
      <c r="N31" s="5"/>
      <c r="O31" s="5"/>
      <c r="P31" s="3"/>
      <c r="Q31" s="3" t="s">
        <v>24</v>
      </c>
    </row>
    <row r="32" spans="1:17" x14ac:dyDescent="0.35">
      <c r="A32" s="3" t="s">
        <v>56</v>
      </c>
      <c r="B32" s="3" t="s">
        <v>57</v>
      </c>
      <c r="C32" s="3" t="s">
        <v>58</v>
      </c>
      <c r="D32" s="3" t="s">
        <v>59</v>
      </c>
      <c r="E32" s="3" t="s">
        <v>65</v>
      </c>
      <c r="F32" s="3">
        <v>101</v>
      </c>
      <c r="G32" s="3">
        <v>200</v>
      </c>
      <c r="H32" s="3" t="s">
        <v>70</v>
      </c>
      <c r="I32" s="3">
        <v>36</v>
      </c>
      <c r="J32" s="4">
        <v>85.04</v>
      </c>
      <c r="K32" s="4">
        <v>44.220800000000004</v>
      </c>
      <c r="L32" s="3" t="s">
        <v>61</v>
      </c>
      <c r="M32" s="3"/>
      <c r="N32" s="5"/>
      <c r="O32" s="5"/>
      <c r="P32" s="3"/>
      <c r="Q32" s="3" t="s">
        <v>24</v>
      </c>
    </row>
    <row r="33" spans="1:17" x14ac:dyDescent="0.35">
      <c r="A33" s="3" t="s">
        <v>62</v>
      </c>
      <c r="B33" s="3" t="s">
        <v>63</v>
      </c>
      <c r="C33" s="3" t="s">
        <v>64</v>
      </c>
      <c r="D33" s="3" t="s">
        <v>59</v>
      </c>
      <c r="E33" s="3" t="s">
        <v>65</v>
      </c>
      <c r="F33" s="3">
        <v>101</v>
      </c>
      <c r="G33" s="3">
        <v>200</v>
      </c>
      <c r="H33" s="3" t="s">
        <v>71</v>
      </c>
      <c r="I33" s="3">
        <v>36</v>
      </c>
      <c r="J33" s="4">
        <v>135.88</v>
      </c>
      <c r="K33" s="4">
        <v>70.657600000000002</v>
      </c>
      <c r="L33" s="3" t="s">
        <v>61</v>
      </c>
      <c r="M33" s="3"/>
      <c r="N33" s="5"/>
      <c r="O33" s="5"/>
      <c r="P33" s="3"/>
      <c r="Q33" s="3" t="s">
        <v>24</v>
      </c>
    </row>
    <row r="34" spans="1:17" ht="29" x14ac:dyDescent="0.35">
      <c r="A34" s="3" t="s">
        <v>72</v>
      </c>
      <c r="B34" s="3" t="s">
        <v>73</v>
      </c>
      <c r="C34" s="3" t="s">
        <v>74</v>
      </c>
      <c r="D34" s="3" t="s">
        <v>59</v>
      </c>
      <c r="E34" s="3" t="s">
        <v>75</v>
      </c>
      <c r="F34" s="3">
        <v>1</v>
      </c>
      <c r="G34" s="3">
        <v>9</v>
      </c>
      <c r="H34" s="3" t="s">
        <v>76</v>
      </c>
      <c r="I34" s="3">
        <v>12</v>
      </c>
      <c r="J34" s="4">
        <v>92</v>
      </c>
      <c r="K34" s="4">
        <v>47.84</v>
      </c>
      <c r="L34" s="3" t="s">
        <v>61</v>
      </c>
      <c r="M34" s="3"/>
      <c r="N34" s="5"/>
      <c r="O34" s="5"/>
      <c r="P34" s="3"/>
      <c r="Q34" s="3" t="s">
        <v>24</v>
      </c>
    </row>
    <row r="35" spans="1:17" ht="29" x14ac:dyDescent="0.35">
      <c r="A35" s="3" t="s">
        <v>72</v>
      </c>
      <c r="B35" s="3" t="s">
        <v>73</v>
      </c>
      <c r="C35" s="3" t="s">
        <v>74</v>
      </c>
      <c r="D35" s="3" t="s">
        <v>59</v>
      </c>
      <c r="E35" s="3" t="s">
        <v>77</v>
      </c>
      <c r="F35" s="3">
        <v>10</v>
      </c>
      <c r="G35" s="3">
        <v>24</v>
      </c>
      <c r="H35" s="3" t="s">
        <v>78</v>
      </c>
      <c r="I35" s="3">
        <v>12</v>
      </c>
      <c r="J35" s="4">
        <v>62.12</v>
      </c>
      <c r="K35" s="4">
        <v>32.302399999999999</v>
      </c>
      <c r="L35" s="3" t="s">
        <v>61</v>
      </c>
      <c r="M35" s="3"/>
      <c r="N35" s="5"/>
      <c r="O35" s="5"/>
      <c r="P35" s="3"/>
      <c r="Q35" s="3" t="s">
        <v>24</v>
      </c>
    </row>
    <row r="36" spans="1:17" ht="29" x14ac:dyDescent="0.35">
      <c r="A36" s="3" t="s">
        <v>72</v>
      </c>
      <c r="B36" s="3" t="s">
        <v>73</v>
      </c>
      <c r="C36" s="3" t="s">
        <v>74</v>
      </c>
      <c r="D36" s="3" t="s">
        <v>59</v>
      </c>
      <c r="E36" s="3" t="s">
        <v>79</v>
      </c>
      <c r="F36" s="3">
        <v>25</v>
      </c>
      <c r="G36" s="3">
        <v>49</v>
      </c>
      <c r="H36" s="3" t="s">
        <v>80</v>
      </c>
      <c r="I36" s="3">
        <v>12</v>
      </c>
      <c r="J36" s="4">
        <v>59.16</v>
      </c>
      <c r="K36" s="4">
        <v>30.763200000000001</v>
      </c>
      <c r="L36" s="3" t="s">
        <v>61</v>
      </c>
      <c r="M36" s="3"/>
      <c r="N36" s="5"/>
      <c r="O36" s="5"/>
      <c r="P36" s="3"/>
      <c r="Q36" s="3" t="s">
        <v>24</v>
      </c>
    </row>
    <row r="37" spans="1:17" ht="29" x14ac:dyDescent="0.35">
      <c r="A37" s="3" t="s">
        <v>72</v>
      </c>
      <c r="B37" s="3" t="s">
        <v>73</v>
      </c>
      <c r="C37" s="3" t="s">
        <v>74</v>
      </c>
      <c r="D37" s="3" t="s">
        <v>59</v>
      </c>
      <c r="E37" s="3" t="s">
        <v>81</v>
      </c>
      <c r="F37" s="3">
        <v>50</v>
      </c>
      <c r="G37" s="3">
        <v>99</v>
      </c>
      <c r="H37" s="3" t="s">
        <v>82</v>
      </c>
      <c r="I37" s="3">
        <v>12</v>
      </c>
      <c r="J37" s="4">
        <v>56.21</v>
      </c>
      <c r="K37" s="4">
        <v>29.229200000000006</v>
      </c>
      <c r="L37" s="3" t="s">
        <v>61</v>
      </c>
      <c r="M37" s="3"/>
      <c r="N37" s="5"/>
      <c r="O37" s="5"/>
      <c r="P37" s="3"/>
      <c r="Q37" s="3" t="s">
        <v>24</v>
      </c>
    </row>
    <row r="38" spans="1:17" ht="29" x14ac:dyDescent="0.35">
      <c r="A38" s="3" t="s">
        <v>72</v>
      </c>
      <c r="B38" s="3" t="s">
        <v>73</v>
      </c>
      <c r="C38" s="3" t="s">
        <v>74</v>
      </c>
      <c r="D38" s="3" t="s">
        <v>59</v>
      </c>
      <c r="E38" s="3" t="s">
        <v>83</v>
      </c>
      <c r="F38" s="3">
        <v>100</v>
      </c>
      <c r="G38" s="3">
        <v>199</v>
      </c>
      <c r="H38" s="3" t="s">
        <v>84</v>
      </c>
      <c r="I38" s="3">
        <v>12</v>
      </c>
      <c r="J38" s="4">
        <v>52.06</v>
      </c>
      <c r="K38" s="4">
        <v>27.071200000000005</v>
      </c>
      <c r="L38" s="3" t="s">
        <v>61</v>
      </c>
      <c r="M38" s="3"/>
      <c r="N38" s="5"/>
      <c r="O38" s="5"/>
      <c r="P38" s="3"/>
      <c r="Q38" s="3" t="s">
        <v>24</v>
      </c>
    </row>
    <row r="39" spans="1:17" ht="29" x14ac:dyDescent="0.35">
      <c r="A39" s="3" t="s">
        <v>72</v>
      </c>
      <c r="B39" s="3" t="s">
        <v>73</v>
      </c>
      <c r="C39" s="3" t="s">
        <v>74</v>
      </c>
      <c r="D39" s="3" t="s">
        <v>59</v>
      </c>
      <c r="E39" s="3" t="s">
        <v>75</v>
      </c>
      <c r="F39" s="3">
        <v>1</v>
      </c>
      <c r="G39" s="3">
        <v>9</v>
      </c>
      <c r="H39" s="3" t="s">
        <v>85</v>
      </c>
      <c r="I39" s="3">
        <v>24</v>
      </c>
      <c r="J39" s="4">
        <v>184</v>
      </c>
      <c r="K39" s="4">
        <v>95.68</v>
      </c>
      <c r="L39" s="3" t="s">
        <v>61</v>
      </c>
      <c r="M39" s="3"/>
      <c r="N39" s="5"/>
      <c r="O39" s="5"/>
      <c r="P39" s="3"/>
      <c r="Q39" s="3" t="s">
        <v>24</v>
      </c>
    </row>
    <row r="40" spans="1:17" ht="29" x14ac:dyDescent="0.35">
      <c r="A40" s="3" t="s">
        <v>72</v>
      </c>
      <c r="B40" s="3" t="s">
        <v>73</v>
      </c>
      <c r="C40" s="3" t="s">
        <v>74</v>
      </c>
      <c r="D40" s="3" t="s">
        <v>59</v>
      </c>
      <c r="E40" s="3" t="s">
        <v>77</v>
      </c>
      <c r="F40" s="3">
        <v>10</v>
      </c>
      <c r="G40" s="3">
        <v>24</v>
      </c>
      <c r="H40" s="3" t="s">
        <v>86</v>
      </c>
      <c r="I40" s="3">
        <v>24</v>
      </c>
      <c r="J40" s="4">
        <v>124.25</v>
      </c>
      <c r="K40" s="4">
        <v>64.61</v>
      </c>
      <c r="L40" s="3" t="s">
        <v>61</v>
      </c>
      <c r="M40" s="3"/>
      <c r="N40" s="5"/>
      <c r="O40" s="5"/>
      <c r="P40" s="3"/>
      <c r="Q40" s="3" t="s">
        <v>24</v>
      </c>
    </row>
    <row r="41" spans="1:17" ht="29" x14ac:dyDescent="0.35">
      <c r="A41" s="3" t="s">
        <v>72</v>
      </c>
      <c r="B41" s="3" t="s">
        <v>73</v>
      </c>
      <c r="C41" s="3" t="s">
        <v>74</v>
      </c>
      <c r="D41" s="3" t="s">
        <v>59</v>
      </c>
      <c r="E41" s="3" t="s">
        <v>79</v>
      </c>
      <c r="F41" s="3">
        <v>25</v>
      </c>
      <c r="G41" s="3">
        <v>49</v>
      </c>
      <c r="H41" s="3" t="s">
        <v>87</v>
      </c>
      <c r="I41" s="3">
        <v>24</v>
      </c>
      <c r="J41" s="4">
        <v>118.33</v>
      </c>
      <c r="K41" s="4">
        <v>61.531600000000005</v>
      </c>
      <c r="L41" s="3" t="s">
        <v>61</v>
      </c>
      <c r="M41" s="3"/>
      <c r="N41" s="5"/>
      <c r="O41" s="5"/>
      <c r="P41" s="3"/>
      <c r="Q41" s="3" t="s">
        <v>24</v>
      </c>
    </row>
    <row r="42" spans="1:17" ht="29" x14ac:dyDescent="0.35">
      <c r="A42" s="3" t="s">
        <v>72</v>
      </c>
      <c r="B42" s="3" t="s">
        <v>73</v>
      </c>
      <c r="C42" s="3" t="s">
        <v>74</v>
      </c>
      <c r="D42" s="3" t="s">
        <v>59</v>
      </c>
      <c r="E42" s="3" t="s">
        <v>81</v>
      </c>
      <c r="F42" s="3">
        <v>50</v>
      </c>
      <c r="G42" s="3">
        <v>99</v>
      </c>
      <c r="H42" s="3" t="s">
        <v>88</v>
      </c>
      <c r="I42" s="3">
        <v>24</v>
      </c>
      <c r="J42" s="4">
        <v>112.41</v>
      </c>
      <c r="K42" s="4">
        <v>58.45320000000001</v>
      </c>
      <c r="L42" s="3" t="s">
        <v>61</v>
      </c>
      <c r="M42" s="3"/>
      <c r="N42" s="5"/>
      <c r="O42" s="5"/>
      <c r="P42" s="3"/>
      <c r="Q42" s="3" t="s">
        <v>24</v>
      </c>
    </row>
    <row r="43" spans="1:17" ht="29" x14ac:dyDescent="0.35">
      <c r="A43" s="3" t="s">
        <v>72</v>
      </c>
      <c r="B43" s="3" t="s">
        <v>73</v>
      </c>
      <c r="C43" s="3" t="s">
        <v>74</v>
      </c>
      <c r="D43" s="3" t="s">
        <v>59</v>
      </c>
      <c r="E43" s="3" t="s">
        <v>83</v>
      </c>
      <c r="F43" s="3">
        <v>100</v>
      </c>
      <c r="G43" s="3">
        <v>199</v>
      </c>
      <c r="H43" s="3" t="s">
        <v>89</v>
      </c>
      <c r="I43" s="3">
        <v>24</v>
      </c>
      <c r="J43" s="4">
        <v>104.13</v>
      </c>
      <c r="K43" s="4">
        <v>54.147600000000004</v>
      </c>
      <c r="L43" s="3" t="s">
        <v>61</v>
      </c>
      <c r="M43" s="3"/>
      <c r="N43" s="5"/>
      <c r="O43" s="5"/>
      <c r="P43" s="3"/>
      <c r="Q43" s="3" t="s">
        <v>24</v>
      </c>
    </row>
    <row r="44" spans="1:17" ht="29" x14ac:dyDescent="0.35">
      <c r="A44" s="3" t="s">
        <v>72</v>
      </c>
      <c r="B44" s="3" t="s">
        <v>73</v>
      </c>
      <c r="C44" s="3" t="s">
        <v>74</v>
      </c>
      <c r="D44" s="3" t="s">
        <v>59</v>
      </c>
      <c r="E44" s="3" t="s">
        <v>75</v>
      </c>
      <c r="F44" s="3">
        <v>1</v>
      </c>
      <c r="G44" s="3">
        <v>9</v>
      </c>
      <c r="H44" s="3" t="s">
        <v>90</v>
      </c>
      <c r="I44" s="3">
        <v>36</v>
      </c>
      <c r="J44" s="4">
        <v>234.6</v>
      </c>
      <c r="K44" s="4">
        <v>121.99200000000002</v>
      </c>
      <c r="L44" s="3" t="s">
        <v>61</v>
      </c>
      <c r="M44" s="3"/>
      <c r="N44" s="5"/>
      <c r="O44" s="5"/>
      <c r="P44" s="3"/>
      <c r="Q44" s="3" t="s">
        <v>24</v>
      </c>
    </row>
    <row r="45" spans="1:17" ht="29" x14ac:dyDescent="0.35">
      <c r="A45" s="3" t="s">
        <v>72</v>
      </c>
      <c r="B45" s="3" t="s">
        <v>73</v>
      </c>
      <c r="C45" s="3" t="s">
        <v>74</v>
      </c>
      <c r="D45" s="3" t="s">
        <v>59</v>
      </c>
      <c r="E45" s="3" t="s">
        <v>77</v>
      </c>
      <c r="F45" s="3">
        <v>10</v>
      </c>
      <c r="G45" s="3">
        <v>24</v>
      </c>
      <c r="H45" s="3" t="s">
        <v>91</v>
      </c>
      <c r="I45" s="3">
        <v>36</v>
      </c>
      <c r="J45" s="4">
        <v>158.41</v>
      </c>
      <c r="K45" s="4">
        <v>82.373199999999997</v>
      </c>
      <c r="L45" s="3" t="s">
        <v>61</v>
      </c>
      <c r="M45" s="3"/>
      <c r="N45" s="5"/>
      <c r="O45" s="5"/>
      <c r="P45" s="3"/>
      <c r="Q45" s="3" t="s">
        <v>24</v>
      </c>
    </row>
    <row r="46" spans="1:17" ht="29" x14ac:dyDescent="0.35">
      <c r="A46" s="3" t="s">
        <v>72</v>
      </c>
      <c r="B46" s="3" t="s">
        <v>73</v>
      </c>
      <c r="C46" s="3" t="s">
        <v>74</v>
      </c>
      <c r="D46" s="3" t="s">
        <v>59</v>
      </c>
      <c r="E46" s="3" t="s">
        <v>79</v>
      </c>
      <c r="F46" s="3">
        <v>25</v>
      </c>
      <c r="G46" s="3">
        <v>49</v>
      </c>
      <c r="H46" s="3" t="s">
        <v>92</v>
      </c>
      <c r="I46" s="3">
        <v>36</v>
      </c>
      <c r="J46" s="4">
        <v>150.87</v>
      </c>
      <c r="K46" s="4">
        <v>78.452400000000011</v>
      </c>
      <c r="L46" s="3" t="s">
        <v>61</v>
      </c>
      <c r="M46" s="3"/>
      <c r="N46" s="5"/>
      <c r="O46" s="5"/>
      <c r="P46" s="3"/>
      <c r="Q46" s="3" t="s">
        <v>24</v>
      </c>
    </row>
    <row r="47" spans="1:17" ht="29" x14ac:dyDescent="0.35">
      <c r="A47" s="3" t="s">
        <v>72</v>
      </c>
      <c r="B47" s="3" t="s">
        <v>73</v>
      </c>
      <c r="C47" s="3" t="s">
        <v>74</v>
      </c>
      <c r="D47" s="3" t="s">
        <v>59</v>
      </c>
      <c r="E47" s="3" t="s">
        <v>81</v>
      </c>
      <c r="F47" s="3">
        <v>50</v>
      </c>
      <c r="G47" s="3">
        <v>99</v>
      </c>
      <c r="H47" s="3" t="s">
        <v>93</v>
      </c>
      <c r="I47" s="3">
        <v>36</v>
      </c>
      <c r="J47" s="4">
        <v>143.33000000000001</v>
      </c>
      <c r="K47" s="4">
        <v>74.531600000000012</v>
      </c>
      <c r="L47" s="3" t="s">
        <v>61</v>
      </c>
      <c r="M47" s="3"/>
      <c r="N47" s="5"/>
      <c r="O47" s="5"/>
      <c r="P47" s="3"/>
      <c r="Q47" s="3" t="s">
        <v>24</v>
      </c>
    </row>
    <row r="48" spans="1:17" ht="29" x14ac:dyDescent="0.35">
      <c r="A48" s="3" t="s">
        <v>72</v>
      </c>
      <c r="B48" s="3" t="s">
        <v>73</v>
      </c>
      <c r="C48" s="3" t="s">
        <v>74</v>
      </c>
      <c r="D48" s="3" t="s">
        <v>59</v>
      </c>
      <c r="E48" s="3" t="s">
        <v>83</v>
      </c>
      <c r="F48" s="3">
        <v>100</v>
      </c>
      <c r="G48" s="3">
        <v>199</v>
      </c>
      <c r="H48" s="3" t="s">
        <v>94</v>
      </c>
      <c r="I48" s="3">
        <v>36</v>
      </c>
      <c r="J48" s="4">
        <v>132.77000000000001</v>
      </c>
      <c r="K48" s="4">
        <v>69.04040000000002</v>
      </c>
      <c r="L48" s="3" t="s">
        <v>61</v>
      </c>
      <c r="M48" s="3"/>
      <c r="N48" s="5"/>
      <c r="O48" s="5"/>
      <c r="P48" s="3"/>
      <c r="Q48" s="3" t="s">
        <v>24</v>
      </c>
    </row>
    <row r="49" spans="1:17" ht="29" x14ac:dyDescent="0.35">
      <c r="A49" s="3" t="s">
        <v>95</v>
      </c>
      <c r="B49" s="3" t="s">
        <v>73</v>
      </c>
      <c r="C49" s="3" t="s">
        <v>96</v>
      </c>
      <c r="D49" s="3" t="s">
        <v>59</v>
      </c>
      <c r="E49" s="3" t="s">
        <v>75</v>
      </c>
      <c r="F49" s="3">
        <v>1</v>
      </c>
      <c r="G49" s="3">
        <v>9</v>
      </c>
      <c r="H49" s="3" t="s">
        <v>97</v>
      </c>
      <c r="I49" s="3">
        <v>12</v>
      </c>
      <c r="J49" s="4">
        <v>119.04</v>
      </c>
      <c r="K49" s="4">
        <v>61.900800000000004</v>
      </c>
      <c r="L49" s="3" t="s">
        <v>61</v>
      </c>
      <c r="M49" s="3"/>
      <c r="N49" s="5"/>
      <c r="O49" s="5"/>
      <c r="P49" s="3"/>
      <c r="Q49" s="3" t="s">
        <v>24</v>
      </c>
    </row>
    <row r="50" spans="1:17" ht="29" x14ac:dyDescent="0.35">
      <c r="A50" s="3" t="s">
        <v>95</v>
      </c>
      <c r="B50" s="3" t="s">
        <v>73</v>
      </c>
      <c r="C50" s="3" t="s">
        <v>96</v>
      </c>
      <c r="D50" s="3" t="s">
        <v>59</v>
      </c>
      <c r="E50" s="3" t="s">
        <v>77</v>
      </c>
      <c r="F50" s="3">
        <v>10</v>
      </c>
      <c r="G50" s="3">
        <v>24</v>
      </c>
      <c r="H50" s="3" t="s">
        <v>98</v>
      </c>
      <c r="I50" s="3">
        <v>12</v>
      </c>
      <c r="J50" s="4">
        <v>91.78</v>
      </c>
      <c r="K50" s="4">
        <v>47.725600000000007</v>
      </c>
      <c r="L50" s="3" t="s">
        <v>61</v>
      </c>
      <c r="M50" s="3"/>
      <c r="N50" s="5"/>
      <c r="O50" s="5"/>
      <c r="P50" s="3"/>
      <c r="Q50" s="3" t="s">
        <v>24</v>
      </c>
    </row>
    <row r="51" spans="1:17" ht="29" x14ac:dyDescent="0.35">
      <c r="A51" s="3" t="s">
        <v>95</v>
      </c>
      <c r="B51" s="3" t="s">
        <v>73</v>
      </c>
      <c r="C51" s="3" t="s">
        <v>96</v>
      </c>
      <c r="D51" s="3" t="s">
        <v>59</v>
      </c>
      <c r="E51" s="3" t="s">
        <v>79</v>
      </c>
      <c r="F51" s="3">
        <v>25</v>
      </c>
      <c r="G51" s="3">
        <v>49</v>
      </c>
      <c r="H51" s="3" t="s">
        <v>99</v>
      </c>
      <c r="I51" s="3">
        <v>12</v>
      </c>
      <c r="J51" s="4">
        <v>87.64</v>
      </c>
      <c r="K51" s="4">
        <v>45.572800000000001</v>
      </c>
      <c r="L51" s="3" t="s">
        <v>61</v>
      </c>
      <c r="M51" s="3"/>
      <c r="N51" s="5"/>
      <c r="O51" s="5"/>
      <c r="P51" s="3"/>
      <c r="Q51" s="3" t="s">
        <v>24</v>
      </c>
    </row>
    <row r="52" spans="1:17" ht="29" x14ac:dyDescent="0.35">
      <c r="A52" s="3" t="s">
        <v>95</v>
      </c>
      <c r="B52" s="3" t="s">
        <v>73</v>
      </c>
      <c r="C52" s="3" t="s">
        <v>96</v>
      </c>
      <c r="D52" s="3" t="s">
        <v>59</v>
      </c>
      <c r="E52" s="3" t="s">
        <v>81</v>
      </c>
      <c r="F52" s="3">
        <v>50</v>
      </c>
      <c r="G52" s="3">
        <v>99</v>
      </c>
      <c r="H52" s="3" t="s">
        <v>100</v>
      </c>
      <c r="I52" s="3">
        <v>12</v>
      </c>
      <c r="J52" s="4">
        <v>81.11</v>
      </c>
      <c r="K52" s="4">
        <v>42.177199999999999</v>
      </c>
      <c r="L52" s="3" t="s">
        <v>61</v>
      </c>
      <c r="M52" s="3"/>
      <c r="N52" s="5"/>
      <c r="O52" s="5"/>
      <c r="P52" s="3"/>
      <c r="Q52" s="3" t="s">
        <v>24</v>
      </c>
    </row>
    <row r="53" spans="1:17" ht="29" x14ac:dyDescent="0.35">
      <c r="A53" s="3" t="s">
        <v>95</v>
      </c>
      <c r="B53" s="3" t="s">
        <v>73</v>
      </c>
      <c r="C53" s="3" t="s">
        <v>96</v>
      </c>
      <c r="D53" s="3" t="s">
        <v>59</v>
      </c>
      <c r="E53" s="3" t="s">
        <v>101</v>
      </c>
      <c r="F53" s="3">
        <v>100</v>
      </c>
      <c r="G53" s="3">
        <v>200</v>
      </c>
      <c r="H53" s="3" t="s">
        <v>102</v>
      </c>
      <c r="I53" s="3">
        <v>12</v>
      </c>
      <c r="J53" s="4">
        <v>77.28</v>
      </c>
      <c r="K53" s="4">
        <v>40.185600000000001</v>
      </c>
      <c r="L53" s="3" t="s">
        <v>61</v>
      </c>
      <c r="M53" s="3"/>
      <c r="N53" s="5"/>
      <c r="O53" s="5"/>
      <c r="P53" s="3"/>
      <c r="Q53" s="3" t="s">
        <v>24</v>
      </c>
    </row>
    <row r="54" spans="1:17" ht="29" x14ac:dyDescent="0.35">
      <c r="A54" s="3" t="s">
        <v>95</v>
      </c>
      <c r="B54" s="3" t="s">
        <v>73</v>
      </c>
      <c r="C54" s="3" t="s">
        <v>96</v>
      </c>
      <c r="D54" s="3" t="s">
        <v>59</v>
      </c>
      <c r="E54" s="3" t="s">
        <v>75</v>
      </c>
      <c r="F54" s="3">
        <v>1</v>
      </c>
      <c r="G54" s="3">
        <v>9</v>
      </c>
      <c r="H54" s="3" t="s">
        <v>103</v>
      </c>
      <c r="I54" s="3">
        <v>24</v>
      </c>
      <c r="J54" s="4">
        <v>238.08</v>
      </c>
      <c r="K54" s="4">
        <v>123.80160000000001</v>
      </c>
      <c r="L54" s="3" t="s">
        <v>61</v>
      </c>
      <c r="M54" s="3"/>
      <c r="N54" s="5"/>
      <c r="O54" s="5"/>
      <c r="P54" s="3"/>
      <c r="Q54" s="3" t="s">
        <v>24</v>
      </c>
    </row>
    <row r="55" spans="1:17" ht="29" x14ac:dyDescent="0.35">
      <c r="A55" s="3" t="s">
        <v>95</v>
      </c>
      <c r="B55" s="3" t="s">
        <v>73</v>
      </c>
      <c r="C55" s="3" t="s">
        <v>96</v>
      </c>
      <c r="D55" s="3" t="s">
        <v>59</v>
      </c>
      <c r="E55" s="3" t="s">
        <v>77</v>
      </c>
      <c r="F55" s="3">
        <v>10</v>
      </c>
      <c r="G55" s="3">
        <v>24</v>
      </c>
      <c r="H55" s="3" t="s">
        <v>104</v>
      </c>
      <c r="I55" s="3">
        <v>24</v>
      </c>
      <c r="J55" s="4">
        <v>183.56</v>
      </c>
      <c r="K55" s="4">
        <v>95.451200000000014</v>
      </c>
      <c r="L55" s="3" t="s">
        <v>61</v>
      </c>
      <c r="M55" s="3"/>
      <c r="N55" s="5"/>
      <c r="O55" s="5"/>
      <c r="P55" s="3"/>
      <c r="Q55" s="3" t="s">
        <v>24</v>
      </c>
    </row>
    <row r="56" spans="1:17" ht="29" x14ac:dyDescent="0.35">
      <c r="A56" s="3" t="s">
        <v>95</v>
      </c>
      <c r="B56" s="3" t="s">
        <v>73</v>
      </c>
      <c r="C56" s="3" t="s">
        <v>96</v>
      </c>
      <c r="D56" s="3" t="s">
        <v>59</v>
      </c>
      <c r="E56" s="3" t="s">
        <v>79</v>
      </c>
      <c r="F56" s="3">
        <v>25</v>
      </c>
      <c r="G56" s="3">
        <v>49</v>
      </c>
      <c r="H56" s="3" t="s">
        <v>105</v>
      </c>
      <c r="I56" s="3">
        <v>24</v>
      </c>
      <c r="J56" s="4">
        <v>175.28</v>
      </c>
      <c r="K56" s="4">
        <v>91.145600000000002</v>
      </c>
      <c r="L56" s="3" t="s">
        <v>61</v>
      </c>
      <c r="M56" s="3"/>
      <c r="N56" s="5"/>
      <c r="O56" s="5"/>
      <c r="P56" s="3"/>
      <c r="Q56" s="3" t="s">
        <v>24</v>
      </c>
    </row>
    <row r="57" spans="1:17" ht="29" x14ac:dyDescent="0.35">
      <c r="A57" s="3" t="s">
        <v>95</v>
      </c>
      <c r="B57" s="3" t="s">
        <v>73</v>
      </c>
      <c r="C57" s="3" t="s">
        <v>96</v>
      </c>
      <c r="D57" s="3" t="s">
        <v>59</v>
      </c>
      <c r="E57" s="3" t="s">
        <v>81</v>
      </c>
      <c r="F57" s="3">
        <v>50</v>
      </c>
      <c r="G57" s="3">
        <v>99</v>
      </c>
      <c r="H57" s="3" t="s">
        <v>106</v>
      </c>
      <c r="I57" s="3">
        <v>24</v>
      </c>
      <c r="J57" s="4">
        <v>162.22</v>
      </c>
      <c r="K57" s="4">
        <v>84.354399999999998</v>
      </c>
      <c r="L57" s="3" t="s">
        <v>61</v>
      </c>
      <c r="M57" s="3"/>
      <c r="N57" s="5"/>
      <c r="O57" s="5"/>
      <c r="P57" s="3"/>
      <c r="Q57" s="3" t="s">
        <v>24</v>
      </c>
    </row>
    <row r="58" spans="1:17" ht="29" x14ac:dyDescent="0.35">
      <c r="A58" s="3" t="s">
        <v>95</v>
      </c>
      <c r="B58" s="3" t="s">
        <v>73</v>
      </c>
      <c r="C58" s="3" t="s">
        <v>96</v>
      </c>
      <c r="D58" s="3" t="s">
        <v>59</v>
      </c>
      <c r="E58" s="3" t="s">
        <v>101</v>
      </c>
      <c r="F58" s="3">
        <v>100</v>
      </c>
      <c r="G58" s="3">
        <v>200</v>
      </c>
      <c r="H58" s="3" t="s">
        <v>107</v>
      </c>
      <c r="I58" s="3">
        <v>24</v>
      </c>
      <c r="J58" s="4">
        <v>154.56</v>
      </c>
      <c r="K58" s="4">
        <v>80.371200000000002</v>
      </c>
      <c r="L58" s="3" t="s">
        <v>61</v>
      </c>
      <c r="M58" s="3"/>
      <c r="N58" s="5"/>
      <c r="O58" s="5"/>
      <c r="P58" s="3"/>
      <c r="Q58" s="3" t="s">
        <v>24</v>
      </c>
    </row>
    <row r="59" spans="1:17" ht="29" x14ac:dyDescent="0.35">
      <c r="A59" s="3" t="s">
        <v>95</v>
      </c>
      <c r="B59" s="3" t="s">
        <v>73</v>
      </c>
      <c r="C59" s="3" t="s">
        <v>96</v>
      </c>
      <c r="D59" s="3" t="s">
        <v>59</v>
      </c>
      <c r="E59" s="3" t="s">
        <v>75</v>
      </c>
      <c r="F59" s="3">
        <v>1</v>
      </c>
      <c r="G59" s="3">
        <v>9</v>
      </c>
      <c r="H59" s="3" t="s">
        <v>108</v>
      </c>
      <c r="I59" s="3">
        <v>36</v>
      </c>
      <c r="J59" s="4">
        <v>303.55</v>
      </c>
      <c r="K59" s="4">
        <v>157.846</v>
      </c>
      <c r="L59" s="3" t="s">
        <v>61</v>
      </c>
      <c r="M59" s="3"/>
      <c r="N59" s="5"/>
      <c r="O59" s="5"/>
      <c r="P59" s="3"/>
      <c r="Q59" s="3" t="s">
        <v>24</v>
      </c>
    </row>
    <row r="60" spans="1:17" ht="29" x14ac:dyDescent="0.35">
      <c r="A60" s="3" t="s">
        <v>95</v>
      </c>
      <c r="B60" s="3" t="s">
        <v>73</v>
      </c>
      <c r="C60" s="3" t="s">
        <v>96</v>
      </c>
      <c r="D60" s="3" t="s">
        <v>59</v>
      </c>
      <c r="E60" s="3" t="s">
        <v>77</v>
      </c>
      <c r="F60" s="3">
        <v>10</v>
      </c>
      <c r="G60" s="3">
        <v>24</v>
      </c>
      <c r="H60" s="3" t="s">
        <v>109</v>
      </c>
      <c r="I60" s="3">
        <v>36</v>
      </c>
      <c r="J60" s="4">
        <v>234.04</v>
      </c>
      <c r="K60" s="4">
        <v>121.70080000000002</v>
      </c>
      <c r="L60" s="3" t="s">
        <v>61</v>
      </c>
      <c r="M60" s="3"/>
      <c r="N60" s="5"/>
      <c r="O60" s="5"/>
      <c r="P60" s="3"/>
      <c r="Q60" s="3" t="s">
        <v>24</v>
      </c>
    </row>
    <row r="61" spans="1:17" ht="29" x14ac:dyDescent="0.35">
      <c r="A61" s="3" t="s">
        <v>95</v>
      </c>
      <c r="B61" s="3" t="s">
        <v>73</v>
      </c>
      <c r="C61" s="3" t="s">
        <v>96</v>
      </c>
      <c r="D61" s="3" t="s">
        <v>59</v>
      </c>
      <c r="E61" s="3" t="s">
        <v>79</v>
      </c>
      <c r="F61" s="3">
        <v>25</v>
      </c>
      <c r="G61" s="3">
        <v>49</v>
      </c>
      <c r="H61" s="3" t="s">
        <v>110</v>
      </c>
      <c r="I61" s="3">
        <v>36</v>
      </c>
      <c r="J61" s="4">
        <v>223.48</v>
      </c>
      <c r="K61" s="4">
        <v>116.20960000000001</v>
      </c>
      <c r="L61" s="3" t="s">
        <v>61</v>
      </c>
      <c r="M61" s="3"/>
      <c r="N61" s="5"/>
      <c r="O61" s="5"/>
      <c r="P61" s="3"/>
      <c r="Q61" s="3" t="s">
        <v>24</v>
      </c>
    </row>
    <row r="62" spans="1:17" ht="29" x14ac:dyDescent="0.35">
      <c r="A62" s="3" t="s">
        <v>95</v>
      </c>
      <c r="B62" s="3" t="s">
        <v>73</v>
      </c>
      <c r="C62" s="3" t="s">
        <v>96</v>
      </c>
      <c r="D62" s="3" t="s">
        <v>59</v>
      </c>
      <c r="E62" s="3" t="s">
        <v>81</v>
      </c>
      <c r="F62" s="3">
        <v>50</v>
      </c>
      <c r="G62" s="3">
        <v>99</v>
      </c>
      <c r="H62" s="3" t="s">
        <v>111</v>
      </c>
      <c r="I62" s="3">
        <v>36</v>
      </c>
      <c r="J62" s="4">
        <v>206.83</v>
      </c>
      <c r="K62" s="4">
        <v>107.55160000000001</v>
      </c>
      <c r="L62" s="3" t="s">
        <v>61</v>
      </c>
      <c r="M62" s="3"/>
      <c r="N62" s="5"/>
      <c r="O62" s="5"/>
      <c r="P62" s="3"/>
      <c r="Q62" s="3" t="s">
        <v>24</v>
      </c>
    </row>
    <row r="63" spans="1:17" ht="29" x14ac:dyDescent="0.35">
      <c r="A63" s="3" t="s">
        <v>95</v>
      </c>
      <c r="B63" s="3" t="s">
        <v>73</v>
      </c>
      <c r="C63" s="3" t="s">
        <v>96</v>
      </c>
      <c r="D63" s="3" t="s">
        <v>59</v>
      </c>
      <c r="E63" s="3" t="s">
        <v>101</v>
      </c>
      <c r="F63" s="3">
        <v>100</v>
      </c>
      <c r="G63" s="3">
        <v>200</v>
      </c>
      <c r="H63" s="3" t="s">
        <v>112</v>
      </c>
      <c r="I63" s="3">
        <v>36</v>
      </c>
      <c r="J63" s="4">
        <v>197.06</v>
      </c>
      <c r="K63" s="4">
        <v>102.47120000000001</v>
      </c>
      <c r="L63" s="3" t="s">
        <v>61</v>
      </c>
      <c r="M63" s="3"/>
      <c r="N63" s="5"/>
      <c r="O63" s="5"/>
      <c r="P63" s="3"/>
      <c r="Q63" s="3" t="s">
        <v>24</v>
      </c>
    </row>
    <row r="64" spans="1:17" ht="29" x14ac:dyDescent="0.35">
      <c r="A64" s="3" t="s">
        <v>113</v>
      </c>
      <c r="B64" s="3" t="s">
        <v>114</v>
      </c>
      <c r="C64" s="3" t="s">
        <v>115</v>
      </c>
      <c r="D64" s="3" t="s">
        <v>59</v>
      </c>
      <c r="E64" s="3" t="s">
        <v>75</v>
      </c>
      <c r="F64" s="3">
        <v>1</v>
      </c>
      <c r="G64" s="3">
        <v>9</v>
      </c>
      <c r="H64" s="3" t="s">
        <v>76</v>
      </c>
      <c r="I64" s="3">
        <v>12</v>
      </c>
      <c r="J64" s="4">
        <v>92</v>
      </c>
      <c r="K64" s="4">
        <v>47.84</v>
      </c>
      <c r="L64" s="3" t="s">
        <v>61</v>
      </c>
      <c r="M64" s="3"/>
      <c r="N64" s="5"/>
      <c r="O64" s="5"/>
      <c r="P64" s="3"/>
      <c r="Q64" s="3" t="s">
        <v>24</v>
      </c>
    </row>
    <row r="65" spans="1:17" ht="29" x14ac:dyDescent="0.35">
      <c r="A65" s="3" t="s">
        <v>113</v>
      </c>
      <c r="B65" s="3" t="s">
        <v>114</v>
      </c>
      <c r="C65" s="3" t="s">
        <v>115</v>
      </c>
      <c r="D65" s="3" t="s">
        <v>59</v>
      </c>
      <c r="E65" s="3" t="s">
        <v>77</v>
      </c>
      <c r="F65" s="3">
        <v>10</v>
      </c>
      <c r="G65" s="3">
        <v>24</v>
      </c>
      <c r="H65" s="3" t="s">
        <v>78</v>
      </c>
      <c r="I65" s="3">
        <v>12</v>
      </c>
      <c r="J65" s="4">
        <v>62.12</v>
      </c>
      <c r="K65" s="4">
        <v>32.302399999999999</v>
      </c>
      <c r="L65" s="3" t="s">
        <v>61</v>
      </c>
      <c r="M65" s="3"/>
      <c r="N65" s="5"/>
      <c r="O65" s="5"/>
      <c r="P65" s="3"/>
      <c r="Q65" s="3" t="s">
        <v>24</v>
      </c>
    </row>
    <row r="66" spans="1:17" ht="29" x14ac:dyDescent="0.35">
      <c r="A66" s="3" t="s">
        <v>113</v>
      </c>
      <c r="B66" s="3" t="s">
        <v>114</v>
      </c>
      <c r="C66" s="3" t="s">
        <v>115</v>
      </c>
      <c r="D66" s="3" t="s">
        <v>59</v>
      </c>
      <c r="E66" s="3" t="s">
        <v>79</v>
      </c>
      <c r="F66" s="3">
        <v>25</v>
      </c>
      <c r="G66" s="3">
        <v>49</v>
      </c>
      <c r="H66" s="3" t="s">
        <v>80</v>
      </c>
      <c r="I66" s="3">
        <v>12</v>
      </c>
      <c r="J66" s="4">
        <v>59.16</v>
      </c>
      <c r="K66" s="4">
        <v>30.763200000000001</v>
      </c>
      <c r="L66" s="3" t="s">
        <v>61</v>
      </c>
      <c r="M66" s="3"/>
      <c r="N66" s="5"/>
      <c r="O66" s="5"/>
      <c r="P66" s="3"/>
      <c r="Q66" s="3" t="s">
        <v>24</v>
      </c>
    </row>
    <row r="67" spans="1:17" ht="29" x14ac:dyDescent="0.35">
      <c r="A67" s="3" t="s">
        <v>113</v>
      </c>
      <c r="B67" s="3" t="s">
        <v>114</v>
      </c>
      <c r="C67" s="3" t="s">
        <v>115</v>
      </c>
      <c r="D67" s="3" t="s">
        <v>59</v>
      </c>
      <c r="E67" s="3" t="s">
        <v>81</v>
      </c>
      <c r="F67" s="3">
        <v>50</v>
      </c>
      <c r="G67" s="3">
        <v>99</v>
      </c>
      <c r="H67" s="3" t="s">
        <v>82</v>
      </c>
      <c r="I67" s="3">
        <v>12</v>
      </c>
      <c r="J67" s="4">
        <v>56.21</v>
      </c>
      <c r="K67" s="4">
        <v>29.229200000000006</v>
      </c>
      <c r="L67" s="3" t="s">
        <v>61</v>
      </c>
      <c r="M67" s="3"/>
      <c r="N67" s="5"/>
      <c r="O67" s="5"/>
      <c r="P67" s="3"/>
      <c r="Q67" s="3" t="s">
        <v>24</v>
      </c>
    </row>
    <row r="68" spans="1:17" ht="29" x14ac:dyDescent="0.35">
      <c r="A68" s="3" t="s">
        <v>113</v>
      </c>
      <c r="B68" s="3" t="s">
        <v>114</v>
      </c>
      <c r="C68" s="3" t="s">
        <v>115</v>
      </c>
      <c r="D68" s="3" t="s">
        <v>59</v>
      </c>
      <c r="E68" s="3" t="s">
        <v>83</v>
      </c>
      <c r="F68" s="3">
        <v>100</v>
      </c>
      <c r="G68" s="3">
        <v>199</v>
      </c>
      <c r="H68" s="3" t="s">
        <v>84</v>
      </c>
      <c r="I68" s="3">
        <v>12</v>
      </c>
      <c r="J68" s="4">
        <v>52.06</v>
      </c>
      <c r="K68" s="4">
        <v>27.071200000000005</v>
      </c>
      <c r="L68" s="3" t="s">
        <v>61</v>
      </c>
      <c r="M68" s="3"/>
      <c r="N68" s="5"/>
      <c r="O68" s="5"/>
      <c r="P68" s="3"/>
      <c r="Q68" s="3" t="s">
        <v>24</v>
      </c>
    </row>
    <row r="69" spans="1:17" ht="29" x14ac:dyDescent="0.35">
      <c r="A69" s="3" t="s">
        <v>113</v>
      </c>
      <c r="B69" s="3" t="s">
        <v>114</v>
      </c>
      <c r="C69" s="3" t="s">
        <v>115</v>
      </c>
      <c r="D69" s="3" t="s">
        <v>59</v>
      </c>
      <c r="E69" s="3" t="s">
        <v>75</v>
      </c>
      <c r="F69" s="3">
        <v>1</v>
      </c>
      <c r="G69" s="3">
        <v>9</v>
      </c>
      <c r="H69" s="3" t="s">
        <v>85</v>
      </c>
      <c r="I69" s="3">
        <v>24</v>
      </c>
      <c r="J69" s="4">
        <v>184</v>
      </c>
      <c r="K69" s="4">
        <v>95.68</v>
      </c>
      <c r="L69" s="3" t="s">
        <v>61</v>
      </c>
      <c r="M69" s="3"/>
      <c r="N69" s="5"/>
      <c r="O69" s="5"/>
      <c r="P69" s="3"/>
      <c r="Q69" s="3" t="s">
        <v>24</v>
      </c>
    </row>
    <row r="70" spans="1:17" ht="29" x14ac:dyDescent="0.35">
      <c r="A70" s="3" t="s">
        <v>113</v>
      </c>
      <c r="B70" s="3" t="s">
        <v>114</v>
      </c>
      <c r="C70" s="3" t="s">
        <v>115</v>
      </c>
      <c r="D70" s="3" t="s">
        <v>59</v>
      </c>
      <c r="E70" s="3" t="s">
        <v>77</v>
      </c>
      <c r="F70" s="3">
        <v>10</v>
      </c>
      <c r="G70" s="3">
        <v>24</v>
      </c>
      <c r="H70" s="3" t="s">
        <v>86</v>
      </c>
      <c r="I70" s="3">
        <v>24</v>
      </c>
      <c r="J70" s="4">
        <v>124.25</v>
      </c>
      <c r="K70" s="4">
        <v>64.61</v>
      </c>
      <c r="L70" s="3" t="s">
        <v>61</v>
      </c>
      <c r="M70" s="3"/>
      <c r="N70" s="5"/>
      <c r="O70" s="5"/>
      <c r="P70" s="3"/>
      <c r="Q70" s="3" t="s">
        <v>24</v>
      </c>
    </row>
    <row r="71" spans="1:17" ht="29" x14ac:dyDescent="0.35">
      <c r="A71" s="3" t="s">
        <v>113</v>
      </c>
      <c r="B71" s="3" t="s">
        <v>114</v>
      </c>
      <c r="C71" s="3" t="s">
        <v>115</v>
      </c>
      <c r="D71" s="3" t="s">
        <v>59</v>
      </c>
      <c r="E71" s="3" t="s">
        <v>79</v>
      </c>
      <c r="F71" s="3">
        <v>25</v>
      </c>
      <c r="G71" s="3">
        <v>49</v>
      </c>
      <c r="H71" s="3" t="s">
        <v>87</v>
      </c>
      <c r="I71" s="3">
        <v>24</v>
      </c>
      <c r="J71" s="4">
        <v>118.33</v>
      </c>
      <c r="K71" s="4">
        <v>61.531600000000005</v>
      </c>
      <c r="L71" s="3" t="s">
        <v>61</v>
      </c>
      <c r="M71" s="3"/>
      <c r="N71" s="5"/>
      <c r="O71" s="5"/>
      <c r="P71" s="3"/>
      <c r="Q71" s="3" t="s">
        <v>24</v>
      </c>
    </row>
    <row r="72" spans="1:17" ht="29" x14ac:dyDescent="0.35">
      <c r="A72" s="3" t="s">
        <v>113</v>
      </c>
      <c r="B72" s="3" t="s">
        <v>114</v>
      </c>
      <c r="C72" s="3" t="s">
        <v>115</v>
      </c>
      <c r="D72" s="3" t="s">
        <v>59</v>
      </c>
      <c r="E72" s="3" t="s">
        <v>81</v>
      </c>
      <c r="F72" s="3">
        <v>50</v>
      </c>
      <c r="G72" s="3">
        <v>99</v>
      </c>
      <c r="H72" s="3" t="s">
        <v>88</v>
      </c>
      <c r="I72" s="3">
        <v>24</v>
      </c>
      <c r="J72" s="4">
        <v>112.41</v>
      </c>
      <c r="K72" s="4">
        <v>58.45320000000001</v>
      </c>
      <c r="L72" s="3" t="s">
        <v>61</v>
      </c>
      <c r="M72" s="3"/>
      <c r="N72" s="5"/>
      <c r="O72" s="5"/>
      <c r="P72" s="3"/>
      <c r="Q72" s="3" t="s">
        <v>24</v>
      </c>
    </row>
    <row r="73" spans="1:17" ht="29" x14ac:dyDescent="0.35">
      <c r="A73" s="3" t="s">
        <v>113</v>
      </c>
      <c r="B73" s="3" t="s">
        <v>114</v>
      </c>
      <c r="C73" s="3" t="s">
        <v>115</v>
      </c>
      <c r="D73" s="3" t="s">
        <v>59</v>
      </c>
      <c r="E73" s="3" t="s">
        <v>83</v>
      </c>
      <c r="F73" s="3">
        <v>100</v>
      </c>
      <c r="G73" s="3">
        <v>199</v>
      </c>
      <c r="H73" s="3" t="s">
        <v>89</v>
      </c>
      <c r="I73" s="3">
        <v>24</v>
      </c>
      <c r="J73" s="4">
        <v>104.13</v>
      </c>
      <c r="K73" s="4">
        <v>54.147600000000004</v>
      </c>
      <c r="L73" s="3" t="s">
        <v>61</v>
      </c>
      <c r="M73" s="3"/>
      <c r="N73" s="5"/>
      <c r="O73" s="5"/>
      <c r="P73" s="3"/>
      <c r="Q73" s="3" t="s">
        <v>24</v>
      </c>
    </row>
    <row r="74" spans="1:17" ht="29" x14ac:dyDescent="0.35">
      <c r="A74" s="3" t="s">
        <v>113</v>
      </c>
      <c r="B74" s="3" t="s">
        <v>114</v>
      </c>
      <c r="C74" s="3" t="s">
        <v>115</v>
      </c>
      <c r="D74" s="3" t="s">
        <v>59</v>
      </c>
      <c r="E74" s="3" t="s">
        <v>75</v>
      </c>
      <c r="F74" s="3">
        <v>1</v>
      </c>
      <c r="G74" s="3">
        <v>9</v>
      </c>
      <c r="H74" s="3" t="s">
        <v>90</v>
      </c>
      <c r="I74" s="3">
        <v>36</v>
      </c>
      <c r="J74" s="4">
        <v>234.6</v>
      </c>
      <c r="K74" s="4">
        <v>121.99200000000002</v>
      </c>
      <c r="L74" s="3" t="s">
        <v>61</v>
      </c>
      <c r="M74" s="3"/>
      <c r="N74" s="5"/>
      <c r="O74" s="5"/>
      <c r="P74" s="3"/>
      <c r="Q74" s="3" t="s">
        <v>24</v>
      </c>
    </row>
    <row r="75" spans="1:17" ht="29" x14ac:dyDescent="0.35">
      <c r="A75" s="3" t="s">
        <v>113</v>
      </c>
      <c r="B75" s="3" t="s">
        <v>114</v>
      </c>
      <c r="C75" s="3" t="s">
        <v>115</v>
      </c>
      <c r="D75" s="3" t="s">
        <v>59</v>
      </c>
      <c r="E75" s="3" t="s">
        <v>77</v>
      </c>
      <c r="F75" s="3">
        <v>10</v>
      </c>
      <c r="G75" s="3">
        <v>24</v>
      </c>
      <c r="H75" s="3" t="s">
        <v>91</v>
      </c>
      <c r="I75" s="3">
        <v>36</v>
      </c>
      <c r="J75" s="4">
        <v>158.41</v>
      </c>
      <c r="K75" s="4">
        <v>82.373199999999997</v>
      </c>
      <c r="L75" s="3" t="s">
        <v>61</v>
      </c>
      <c r="M75" s="3"/>
      <c r="N75" s="5"/>
      <c r="O75" s="5"/>
      <c r="P75" s="3"/>
      <c r="Q75" s="3" t="s">
        <v>24</v>
      </c>
    </row>
    <row r="76" spans="1:17" ht="29" x14ac:dyDescent="0.35">
      <c r="A76" s="3" t="s">
        <v>113</v>
      </c>
      <c r="B76" s="3" t="s">
        <v>114</v>
      </c>
      <c r="C76" s="3" t="s">
        <v>115</v>
      </c>
      <c r="D76" s="3" t="s">
        <v>59</v>
      </c>
      <c r="E76" s="3" t="s">
        <v>79</v>
      </c>
      <c r="F76" s="3">
        <v>25</v>
      </c>
      <c r="G76" s="3">
        <v>49</v>
      </c>
      <c r="H76" s="3" t="s">
        <v>92</v>
      </c>
      <c r="I76" s="3">
        <v>36</v>
      </c>
      <c r="J76" s="4">
        <v>150.87</v>
      </c>
      <c r="K76" s="4">
        <v>78.452400000000011</v>
      </c>
      <c r="L76" s="3" t="s">
        <v>61</v>
      </c>
      <c r="M76" s="3"/>
      <c r="N76" s="5"/>
      <c r="O76" s="5"/>
      <c r="P76" s="3"/>
      <c r="Q76" s="3" t="s">
        <v>24</v>
      </c>
    </row>
    <row r="77" spans="1:17" ht="29" x14ac:dyDescent="0.35">
      <c r="A77" s="3" t="s">
        <v>113</v>
      </c>
      <c r="B77" s="3" t="s">
        <v>114</v>
      </c>
      <c r="C77" s="3" t="s">
        <v>115</v>
      </c>
      <c r="D77" s="3" t="s">
        <v>59</v>
      </c>
      <c r="E77" s="3" t="s">
        <v>81</v>
      </c>
      <c r="F77" s="3">
        <v>50</v>
      </c>
      <c r="G77" s="3">
        <v>99</v>
      </c>
      <c r="H77" s="3" t="s">
        <v>93</v>
      </c>
      <c r="I77" s="3">
        <v>36</v>
      </c>
      <c r="J77" s="4">
        <v>143.33000000000001</v>
      </c>
      <c r="K77" s="4">
        <v>74.531600000000012</v>
      </c>
      <c r="L77" s="3" t="s">
        <v>61</v>
      </c>
      <c r="M77" s="3"/>
      <c r="N77" s="5"/>
      <c r="O77" s="5"/>
      <c r="P77" s="3"/>
      <c r="Q77" s="3" t="s">
        <v>24</v>
      </c>
    </row>
    <row r="78" spans="1:17" ht="29" x14ac:dyDescent="0.35">
      <c r="A78" s="3" t="s">
        <v>113</v>
      </c>
      <c r="B78" s="3" t="s">
        <v>114</v>
      </c>
      <c r="C78" s="3" t="s">
        <v>115</v>
      </c>
      <c r="D78" s="3" t="s">
        <v>59</v>
      </c>
      <c r="E78" s="3" t="s">
        <v>83</v>
      </c>
      <c r="F78" s="3">
        <v>100</v>
      </c>
      <c r="G78" s="3">
        <v>199</v>
      </c>
      <c r="H78" s="3" t="s">
        <v>94</v>
      </c>
      <c r="I78" s="3">
        <v>36</v>
      </c>
      <c r="J78" s="4">
        <v>132.77000000000001</v>
      </c>
      <c r="K78" s="4">
        <v>69.04040000000002</v>
      </c>
      <c r="L78" s="3" t="s">
        <v>61</v>
      </c>
      <c r="M78" s="3"/>
      <c r="N78" s="5"/>
      <c r="O78" s="5"/>
      <c r="P78" s="3"/>
      <c r="Q78" s="3" t="s">
        <v>24</v>
      </c>
    </row>
    <row r="79" spans="1:17" ht="29" x14ac:dyDescent="0.35">
      <c r="A79" s="3" t="s">
        <v>116</v>
      </c>
      <c r="B79" s="3" t="s">
        <v>114</v>
      </c>
      <c r="C79" s="3" t="s">
        <v>117</v>
      </c>
      <c r="D79" s="3" t="s">
        <v>59</v>
      </c>
      <c r="E79" s="3" t="s">
        <v>75</v>
      </c>
      <c r="F79" s="3">
        <v>1</v>
      </c>
      <c r="G79" s="3">
        <v>9</v>
      </c>
      <c r="H79" s="3" t="s">
        <v>97</v>
      </c>
      <c r="I79" s="3">
        <v>12</v>
      </c>
      <c r="J79" s="4">
        <v>119.04</v>
      </c>
      <c r="K79" s="4">
        <v>61.900800000000004</v>
      </c>
      <c r="L79" s="3" t="s">
        <v>61</v>
      </c>
      <c r="M79" s="3"/>
      <c r="N79" s="5"/>
      <c r="O79" s="5"/>
      <c r="P79" s="3"/>
      <c r="Q79" s="3" t="s">
        <v>24</v>
      </c>
    </row>
    <row r="80" spans="1:17" ht="29" x14ac:dyDescent="0.35">
      <c r="A80" s="3" t="s">
        <v>116</v>
      </c>
      <c r="B80" s="3" t="s">
        <v>114</v>
      </c>
      <c r="C80" s="3" t="s">
        <v>117</v>
      </c>
      <c r="D80" s="3" t="s">
        <v>59</v>
      </c>
      <c r="E80" s="3" t="s">
        <v>77</v>
      </c>
      <c r="F80" s="3">
        <v>10</v>
      </c>
      <c r="G80" s="3">
        <v>24</v>
      </c>
      <c r="H80" s="3" t="s">
        <v>98</v>
      </c>
      <c r="I80" s="3">
        <v>12</v>
      </c>
      <c r="J80" s="4">
        <v>91.78</v>
      </c>
      <c r="K80" s="4">
        <v>47.725600000000007</v>
      </c>
      <c r="L80" s="3" t="s">
        <v>61</v>
      </c>
      <c r="M80" s="3"/>
      <c r="N80" s="5"/>
      <c r="O80" s="5"/>
      <c r="P80" s="3"/>
      <c r="Q80" s="3" t="s">
        <v>24</v>
      </c>
    </row>
    <row r="81" spans="1:17" ht="29" x14ac:dyDescent="0.35">
      <c r="A81" s="3" t="s">
        <v>116</v>
      </c>
      <c r="B81" s="3" t="s">
        <v>114</v>
      </c>
      <c r="C81" s="3" t="s">
        <v>117</v>
      </c>
      <c r="D81" s="3" t="s">
        <v>59</v>
      </c>
      <c r="E81" s="3" t="s">
        <v>79</v>
      </c>
      <c r="F81" s="3">
        <v>25</v>
      </c>
      <c r="G81" s="3">
        <v>49</v>
      </c>
      <c r="H81" s="3" t="s">
        <v>99</v>
      </c>
      <c r="I81" s="3">
        <v>12</v>
      </c>
      <c r="J81" s="4">
        <v>87.64</v>
      </c>
      <c r="K81" s="4">
        <v>45.572800000000001</v>
      </c>
      <c r="L81" s="3" t="s">
        <v>61</v>
      </c>
      <c r="M81" s="3"/>
      <c r="N81" s="5"/>
      <c r="O81" s="5"/>
      <c r="P81" s="3"/>
      <c r="Q81" s="3" t="s">
        <v>24</v>
      </c>
    </row>
    <row r="82" spans="1:17" ht="29" x14ac:dyDescent="0.35">
      <c r="A82" s="3" t="s">
        <v>116</v>
      </c>
      <c r="B82" s="3" t="s">
        <v>114</v>
      </c>
      <c r="C82" s="3" t="s">
        <v>117</v>
      </c>
      <c r="D82" s="3" t="s">
        <v>59</v>
      </c>
      <c r="E82" s="3" t="s">
        <v>81</v>
      </c>
      <c r="F82" s="3">
        <v>50</v>
      </c>
      <c r="G82" s="3">
        <v>99</v>
      </c>
      <c r="H82" s="3" t="s">
        <v>100</v>
      </c>
      <c r="I82" s="3">
        <v>12</v>
      </c>
      <c r="J82" s="4">
        <v>81.11</v>
      </c>
      <c r="K82" s="4">
        <v>42.177199999999999</v>
      </c>
      <c r="L82" s="3" t="s">
        <v>61</v>
      </c>
      <c r="M82" s="3"/>
      <c r="N82" s="5"/>
      <c r="O82" s="5"/>
      <c r="P82" s="3"/>
      <c r="Q82" s="3" t="s">
        <v>24</v>
      </c>
    </row>
    <row r="83" spans="1:17" ht="29" x14ac:dyDescent="0.35">
      <c r="A83" s="3" t="s">
        <v>116</v>
      </c>
      <c r="B83" s="3" t="s">
        <v>114</v>
      </c>
      <c r="C83" s="3" t="s">
        <v>117</v>
      </c>
      <c r="D83" s="3" t="s">
        <v>59</v>
      </c>
      <c r="E83" s="3" t="s">
        <v>101</v>
      </c>
      <c r="F83" s="3">
        <v>100</v>
      </c>
      <c r="G83" s="3">
        <v>200</v>
      </c>
      <c r="H83" s="3" t="s">
        <v>102</v>
      </c>
      <c r="I83" s="3">
        <v>12</v>
      </c>
      <c r="J83" s="4">
        <v>77.28</v>
      </c>
      <c r="K83" s="4">
        <v>40.185600000000001</v>
      </c>
      <c r="L83" s="3" t="s">
        <v>61</v>
      </c>
      <c r="M83" s="3"/>
      <c r="N83" s="5"/>
      <c r="O83" s="5"/>
      <c r="P83" s="3"/>
      <c r="Q83" s="3" t="s">
        <v>24</v>
      </c>
    </row>
    <row r="84" spans="1:17" ht="29" x14ac:dyDescent="0.35">
      <c r="A84" s="3" t="s">
        <v>116</v>
      </c>
      <c r="B84" s="3" t="s">
        <v>114</v>
      </c>
      <c r="C84" s="3" t="s">
        <v>117</v>
      </c>
      <c r="D84" s="3" t="s">
        <v>59</v>
      </c>
      <c r="E84" s="3" t="s">
        <v>75</v>
      </c>
      <c r="F84" s="3">
        <v>1</v>
      </c>
      <c r="G84" s="3">
        <v>9</v>
      </c>
      <c r="H84" s="3" t="s">
        <v>103</v>
      </c>
      <c r="I84" s="3">
        <v>24</v>
      </c>
      <c r="J84" s="4">
        <v>238.08</v>
      </c>
      <c r="K84" s="4">
        <v>123.80160000000001</v>
      </c>
      <c r="L84" s="3" t="s">
        <v>61</v>
      </c>
      <c r="M84" s="3"/>
      <c r="N84" s="5"/>
      <c r="O84" s="5"/>
      <c r="P84" s="3"/>
      <c r="Q84" s="3" t="s">
        <v>24</v>
      </c>
    </row>
    <row r="85" spans="1:17" ht="29" x14ac:dyDescent="0.35">
      <c r="A85" s="3" t="s">
        <v>116</v>
      </c>
      <c r="B85" s="3" t="s">
        <v>114</v>
      </c>
      <c r="C85" s="3" t="s">
        <v>117</v>
      </c>
      <c r="D85" s="3" t="s">
        <v>59</v>
      </c>
      <c r="E85" s="3" t="s">
        <v>77</v>
      </c>
      <c r="F85" s="3">
        <v>10</v>
      </c>
      <c r="G85" s="3">
        <v>24</v>
      </c>
      <c r="H85" s="3" t="s">
        <v>104</v>
      </c>
      <c r="I85" s="3">
        <v>24</v>
      </c>
      <c r="J85" s="4">
        <v>183.56</v>
      </c>
      <c r="K85" s="4">
        <v>95.451200000000014</v>
      </c>
      <c r="L85" s="3" t="s">
        <v>61</v>
      </c>
      <c r="M85" s="3"/>
      <c r="N85" s="5"/>
      <c r="O85" s="5"/>
      <c r="P85" s="3"/>
      <c r="Q85" s="3" t="s">
        <v>24</v>
      </c>
    </row>
    <row r="86" spans="1:17" ht="29" x14ac:dyDescent="0.35">
      <c r="A86" s="3" t="s">
        <v>116</v>
      </c>
      <c r="B86" s="3" t="s">
        <v>114</v>
      </c>
      <c r="C86" s="3" t="s">
        <v>117</v>
      </c>
      <c r="D86" s="3" t="s">
        <v>59</v>
      </c>
      <c r="E86" s="3" t="s">
        <v>79</v>
      </c>
      <c r="F86" s="3">
        <v>25</v>
      </c>
      <c r="G86" s="3">
        <v>49</v>
      </c>
      <c r="H86" s="3" t="s">
        <v>105</v>
      </c>
      <c r="I86" s="3">
        <v>24</v>
      </c>
      <c r="J86" s="4">
        <v>175.28</v>
      </c>
      <c r="K86" s="4">
        <v>91.145600000000002</v>
      </c>
      <c r="L86" s="3" t="s">
        <v>61</v>
      </c>
      <c r="M86" s="3"/>
      <c r="N86" s="5"/>
      <c r="O86" s="5"/>
      <c r="P86" s="3"/>
      <c r="Q86" s="3" t="s">
        <v>24</v>
      </c>
    </row>
    <row r="87" spans="1:17" ht="29" x14ac:dyDescent="0.35">
      <c r="A87" s="3" t="s">
        <v>116</v>
      </c>
      <c r="B87" s="3" t="s">
        <v>114</v>
      </c>
      <c r="C87" s="3" t="s">
        <v>117</v>
      </c>
      <c r="D87" s="3" t="s">
        <v>59</v>
      </c>
      <c r="E87" s="3" t="s">
        <v>81</v>
      </c>
      <c r="F87" s="3">
        <v>50</v>
      </c>
      <c r="G87" s="3">
        <v>99</v>
      </c>
      <c r="H87" s="3" t="s">
        <v>106</v>
      </c>
      <c r="I87" s="3">
        <v>24</v>
      </c>
      <c r="J87" s="4">
        <v>162.22</v>
      </c>
      <c r="K87" s="4">
        <v>84.354399999999998</v>
      </c>
      <c r="L87" s="3" t="s">
        <v>61</v>
      </c>
      <c r="M87" s="3"/>
      <c r="N87" s="5"/>
      <c r="O87" s="5"/>
      <c r="P87" s="3"/>
      <c r="Q87" s="3" t="s">
        <v>24</v>
      </c>
    </row>
    <row r="88" spans="1:17" ht="29" x14ac:dyDescent="0.35">
      <c r="A88" s="3" t="s">
        <v>116</v>
      </c>
      <c r="B88" s="3" t="s">
        <v>114</v>
      </c>
      <c r="C88" s="3" t="s">
        <v>117</v>
      </c>
      <c r="D88" s="3" t="s">
        <v>59</v>
      </c>
      <c r="E88" s="3" t="s">
        <v>101</v>
      </c>
      <c r="F88" s="3">
        <v>100</v>
      </c>
      <c r="G88" s="3">
        <v>200</v>
      </c>
      <c r="H88" s="3" t="s">
        <v>107</v>
      </c>
      <c r="I88" s="3">
        <v>24</v>
      </c>
      <c r="J88" s="4">
        <v>154.56</v>
      </c>
      <c r="K88" s="4">
        <v>80.371200000000002</v>
      </c>
      <c r="L88" s="3" t="s">
        <v>61</v>
      </c>
      <c r="M88" s="3"/>
      <c r="N88" s="5"/>
      <c r="O88" s="5"/>
      <c r="P88" s="3"/>
      <c r="Q88" s="3" t="s">
        <v>24</v>
      </c>
    </row>
    <row r="89" spans="1:17" ht="29" x14ac:dyDescent="0.35">
      <c r="A89" s="3" t="s">
        <v>116</v>
      </c>
      <c r="B89" s="3" t="s">
        <v>114</v>
      </c>
      <c r="C89" s="3" t="s">
        <v>117</v>
      </c>
      <c r="D89" s="3" t="s">
        <v>59</v>
      </c>
      <c r="E89" s="3" t="s">
        <v>75</v>
      </c>
      <c r="F89" s="3">
        <v>1</v>
      </c>
      <c r="G89" s="3">
        <v>9</v>
      </c>
      <c r="H89" s="3" t="s">
        <v>108</v>
      </c>
      <c r="I89" s="3">
        <v>36</v>
      </c>
      <c r="J89" s="4">
        <v>303.55</v>
      </c>
      <c r="K89" s="4">
        <v>157.846</v>
      </c>
      <c r="L89" s="3" t="s">
        <v>61</v>
      </c>
      <c r="M89" s="3"/>
      <c r="N89" s="5"/>
      <c r="O89" s="5"/>
      <c r="P89" s="3"/>
      <c r="Q89" s="3" t="s">
        <v>24</v>
      </c>
    </row>
    <row r="90" spans="1:17" ht="29" x14ac:dyDescent="0.35">
      <c r="A90" s="3" t="s">
        <v>116</v>
      </c>
      <c r="B90" s="3" t="s">
        <v>114</v>
      </c>
      <c r="C90" s="3" t="s">
        <v>117</v>
      </c>
      <c r="D90" s="3" t="s">
        <v>59</v>
      </c>
      <c r="E90" s="3" t="s">
        <v>77</v>
      </c>
      <c r="F90" s="3">
        <v>10</v>
      </c>
      <c r="G90" s="3">
        <v>24</v>
      </c>
      <c r="H90" s="3" t="s">
        <v>109</v>
      </c>
      <c r="I90" s="3">
        <v>36</v>
      </c>
      <c r="J90" s="4">
        <v>234.04</v>
      </c>
      <c r="K90" s="4">
        <v>121.70080000000002</v>
      </c>
      <c r="L90" s="3" t="s">
        <v>61</v>
      </c>
      <c r="M90" s="3"/>
      <c r="N90" s="5"/>
      <c r="O90" s="5"/>
      <c r="P90" s="3"/>
      <c r="Q90" s="3" t="s">
        <v>24</v>
      </c>
    </row>
    <row r="91" spans="1:17" ht="29" x14ac:dyDescent="0.35">
      <c r="A91" s="3" t="s">
        <v>116</v>
      </c>
      <c r="B91" s="3" t="s">
        <v>114</v>
      </c>
      <c r="C91" s="3" t="s">
        <v>117</v>
      </c>
      <c r="D91" s="3" t="s">
        <v>59</v>
      </c>
      <c r="E91" s="3" t="s">
        <v>79</v>
      </c>
      <c r="F91" s="3">
        <v>25</v>
      </c>
      <c r="G91" s="3">
        <v>49</v>
      </c>
      <c r="H91" s="3" t="s">
        <v>110</v>
      </c>
      <c r="I91" s="3">
        <v>36</v>
      </c>
      <c r="J91" s="4">
        <v>223.48</v>
      </c>
      <c r="K91" s="4">
        <v>116.20960000000001</v>
      </c>
      <c r="L91" s="3" t="s">
        <v>61</v>
      </c>
      <c r="M91" s="3"/>
      <c r="N91" s="5"/>
      <c r="O91" s="5"/>
      <c r="P91" s="3"/>
      <c r="Q91" s="3" t="s">
        <v>24</v>
      </c>
    </row>
    <row r="92" spans="1:17" ht="29" x14ac:dyDescent="0.35">
      <c r="A92" s="3" t="s">
        <v>116</v>
      </c>
      <c r="B92" s="3" t="s">
        <v>114</v>
      </c>
      <c r="C92" s="3" t="s">
        <v>117</v>
      </c>
      <c r="D92" s="3" t="s">
        <v>59</v>
      </c>
      <c r="E92" s="3" t="s">
        <v>81</v>
      </c>
      <c r="F92" s="3">
        <v>50</v>
      </c>
      <c r="G92" s="3">
        <v>99</v>
      </c>
      <c r="H92" s="3" t="s">
        <v>111</v>
      </c>
      <c r="I92" s="3">
        <v>36</v>
      </c>
      <c r="J92" s="4">
        <v>206.83</v>
      </c>
      <c r="K92" s="4">
        <v>107.55160000000001</v>
      </c>
      <c r="L92" s="3" t="s">
        <v>61</v>
      </c>
      <c r="M92" s="3"/>
      <c r="N92" s="5"/>
      <c r="O92" s="5"/>
      <c r="P92" s="3"/>
      <c r="Q92" s="3" t="s">
        <v>24</v>
      </c>
    </row>
    <row r="93" spans="1:17" ht="29" x14ac:dyDescent="0.35">
      <c r="A93" s="3" t="s">
        <v>116</v>
      </c>
      <c r="B93" s="3" t="s">
        <v>114</v>
      </c>
      <c r="C93" s="3" t="s">
        <v>117</v>
      </c>
      <c r="D93" s="3" t="s">
        <v>59</v>
      </c>
      <c r="E93" s="3" t="s">
        <v>101</v>
      </c>
      <c r="F93" s="3">
        <v>100</v>
      </c>
      <c r="G93" s="3">
        <v>200</v>
      </c>
      <c r="H93" s="3" t="s">
        <v>112</v>
      </c>
      <c r="I93" s="3">
        <v>36</v>
      </c>
      <c r="J93" s="4">
        <v>197.06</v>
      </c>
      <c r="K93" s="4">
        <v>102.47120000000001</v>
      </c>
      <c r="L93" s="3" t="s">
        <v>61</v>
      </c>
      <c r="M93" s="3"/>
      <c r="N93" s="5"/>
      <c r="O93" s="5"/>
      <c r="P93" s="3"/>
      <c r="Q93" s="3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7265625" defaultRowHeight="14.5" x14ac:dyDescent="0.35"/>
  <cols>
    <col min="1" max="1" width="14" customWidth="1"/>
    <col min="2" max="2" width="16" customWidth="1"/>
    <col min="3" max="3" width="18" customWidth="1"/>
    <col min="4" max="5" width="22" customWidth="1"/>
    <col min="6" max="6" width="18" customWidth="1"/>
  </cols>
  <sheetData>
    <row r="1" spans="1:6" x14ac:dyDescent="0.35">
      <c r="A1" s="1" t="s">
        <v>118</v>
      </c>
      <c r="B1" s="1" t="s">
        <v>3</v>
      </c>
      <c r="C1" s="1" t="s">
        <v>12</v>
      </c>
      <c r="D1" s="1" t="s">
        <v>13</v>
      </c>
      <c r="E1" s="1" t="s">
        <v>119</v>
      </c>
      <c r="F1" s="1" t="s">
        <v>15</v>
      </c>
    </row>
    <row r="2" spans="1:6" x14ac:dyDescent="0.35">
      <c r="A2" t="s">
        <v>120</v>
      </c>
      <c r="B2" t="s">
        <v>19</v>
      </c>
      <c r="C2" t="s">
        <v>23</v>
      </c>
      <c r="D2" s="2">
        <v>1600000</v>
      </c>
      <c r="E2" s="2">
        <v>40500</v>
      </c>
      <c r="F2">
        <v>20</v>
      </c>
    </row>
    <row r="3" spans="1:6" x14ac:dyDescent="0.35">
      <c r="A3" t="s">
        <v>120</v>
      </c>
      <c r="B3" t="s">
        <v>29</v>
      </c>
      <c r="C3" t="s">
        <v>32</v>
      </c>
      <c r="D3" s="2">
        <v>4190000</v>
      </c>
      <c r="E3" s="2">
        <v>53000</v>
      </c>
      <c r="F3">
        <v>40</v>
      </c>
    </row>
    <row r="4" spans="1:6" x14ac:dyDescent="0.35">
      <c r="A4" t="s">
        <v>120</v>
      </c>
      <c r="B4" t="s">
        <v>36</v>
      </c>
      <c r="C4" t="s">
        <v>39</v>
      </c>
      <c r="D4" s="2">
        <v>5500000</v>
      </c>
      <c r="E4" s="2">
        <v>62500</v>
      </c>
      <c r="F4">
        <v>70</v>
      </c>
    </row>
    <row r="5" spans="1:6" x14ac:dyDescent="0.35">
      <c r="A5" t="s">
        <v>120</v>
      </c>
      <c r="B5" t="s">
        <v>43</v>
      </c>
      <c r="C5" t="s">
        <v>46</v>
      </c>
      <c r="D5" s="2">
        <v>6000000</v>
      </c>
      <c r="E5" s="2">
        <v>72250</v>
      </c>
      <c r="F5">
        <v>100</v>
      </c>
    </row>
    <row r="6" spans="1:6" x14ac:dyDescent="0.35">
      <c r="A6" t="s">
        <v>120</v>
      </c>
      <c r="B6" t="s">
        <v>50</v>
      </c>
      <c r="C6" t="s">
        <v>46</v>
      </c>
      <c r="D6" s="2">
        <v>6550000</v>
      </c>
      <c r="E6" s="2">
        <v>105000</v>
      </c>
      <c r="F6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selection activeCell="B6" sqref="B6"/>
    </sheetView>
  </sheetViews>
  <sheetFormatPr baseColWidth="10" defaultColWidth="8.7265625" defaultRowHeight="14.5" x14ac:dyDescent="0.35"/>
  <cols>
    <col min="1" max="1" width="16" customWidth="1"/>
    <col min="2" max="2" width="24" customWidth="1"/>
    <col min="3" max="6" width="16" customWidth="1"/>
    <col min="7" max="7" width="20" customWidth="1"/>
    <col min="8" max="8" width="46" customWidth="1"/>
  </cols>
  <sheetData>
    <row r="1" spans="1:8" ht="19.5" x14ac:dyDescent="0.45">
      <c r="A1" s="14" t="s">
        <v>165</v>
      </c>
      <c r="B1" s="10"/>
      <c r="C1" s="10"/>
      <c r="D1" s="10"/>
      <c r="E1" s="10"/>
      <c r="F1" s="10"/>
      <c r="G1" s="10"/>
      <c r="H1" s="10"/>
    </row>
    <row r="3" spans="1:8" ht="29" x14ac:dyDescent="0.35">
      <c r="A3" s="1" t="s">
        <v>0</v>
      </c>
      <c r="B3" s="1" t="s">
        <v>166</v>
      </c>
      <c r="C3" s="1" t="s">
        <v>4</v>
      </c>
      <c r="D3" s="1" t="s">
        <v>167</v>
      </c>
      <c r="E3" s="1" t="s">
        <v>168</v>
      </c>
      <c r="F3" s="1" t="s">
        <v>169</v>
      </c>
      <c r="G3" s="1" t="s">
        <v>170</v>
      </c>
      <c r="H3" s="1" t="s">
        <v>171</v>
      </c>
    </row>
    <row r="4" spans="1:8" ht="29" x14ac:dyDescent="0.35">
      <c r="A4" s="3" t="s">
        <v>56</v>
      </c>
      <c r="B4" s="3" t="s">
        <v>58</v>
      </c>
      <c r="C4" s="3" t="s">
        <v>60</v>
      </c>
      <c r="D4" s="4">
        <f>IF(SUMIFS(Lista_Precios!$K:$K,Lista_Precios!$A:$A,$A4,Lista_Precios!$C:$C,$B4,Lista_Precios!$E:$E,$C4,Lista_Precios!$I:$I,12)&gt;0,SUMIFS(Lista_Precios!$K:$K,Lista_Precios!$A:$A,$A4,Lista_Precios!$C:$C,$B4,Lista_Precios!$E:$E,$C4,Lista_Precios!$I:$I,12),IF(SUMIFS(Lista_Precios!$J:$J,Lista_Precios!$A:$A,$A4,Lista_Precios!$C:$C,$B4,Lista_Precios!$E:$E,$C4,Lista_Precios!$I:$I,12)&gt;0,SUMIFS(Lista_Precios!$J:$J,Lista_Precios!$A:$A,$A4,Lista_Precios!$C:$C,$B4,Lista_Precios!$E:$E,$C4,Lista_Precios!$I:$I,12),""))</f>
        <v>26.04</v>
      </c>
      <c r="E4" s="4">
        <f>IF(SUMIFS(Lista_Precios!$K:$K,Lista_Precios!$A:$A,$A4,Lista_Precios!$C:$C,$B4,Lista_Precios!$E:$E,$C4,Lista_Precios!$I:$I,24)&gt;0,SUMIFS(Lista_Precios!$K:$K,Lista_Precios!$A:$A,$A4,Lista_Precios!$C:$C,$B4,Lista_Precios!$E:$E,$C4,Lista_Precios!$I:$I,24),IF(SUMIFS(Lista_Precios!$J:$J,Lista_Precios!$A:$A,$A4,Lista_Precios!$C:$C,$B4,Lista_Precios!$E:$E,$C4,Lista_Precios!$I:$I,24)&gt;0,SUMIFS(Lista_Precios!$J:$J,Lista_Precios!$A:$A,$A4,Lista_Precios!$C:$C,$B4,Lista_Precios!$E:$E,$C4,Lista_Precios!$I:$I,24),""))</f>
        <v>52.08</v>
      </c>
      <c r="F4" s="4">
        <f>IF(SUMIFS(Lista_Precios!$K:$K,Lista_Precios!$A:$A,$A4,Lista_Precios!$C:$C,$B4,Lista_Precios!$E:$E,$C4,Lista_Precios!$I:$I,36)&gt;0,SUMIFS(Lista_Precios!$K:$K,Lista_Precios!$A:$A,$A4,Lista_Precios!$C:$C,$B4,Lista_Precios!$E:$E,$C4,Lista_Precios!$I:$I,36),IF(SUMIFS(Lista_Precios!$J:$J,Lista_Precios!$A:$A,$A4,Lista_Precios!$C:$C,$B4,Lista_Precios!$E:$E,$C4,Lista_Precios!$I:$I,36)&gt;0,SUMIFS(Lista_Precios!$J:$J,Lista_Precios!$A:$A,$A4,Lista_Precios!$C:$C,$B4,Lista_Precios!$E:$E,$C4,Lista_Precios!$I:$I,36),""))</f>
        <v>78.12</v>
      </c>
      <c r="G4" s="4">
        <f t="shared" ref="G4:G27" si="0">IF(F4="","",F4/36)</f>
        <v>2.17</v>
      </c>
      <c r="H4" s="3" t="s">
        <v>172</v>
      </c>
    </row>
    <row r="5" spans="1:8" ht="29" x14ac:dyDescent="0.35">
      <c r="A5" s="3" t="s">
        <v>62</v>
      </c>
      <c r="B5" s="3" t="s">
        <v>64</v>
      </c>
      <c r="C5" s="3" t="s">
        <v>60</v>
      </c>
      <c r="D5" s="4">
        <f>IF(SUMIFS(Lista_Precios!$K:$K,Lista_Precios!$A:$A,$A5,Lista_Precios!$C:$C,$B5,Lista_Precios!$E:$E,$C5,Lista_Precios!$I:$I,12)&gt;0,SUMIFS(Lista_Precios!$K:$K,Lista_Precios!$A:$A,$A5,Lista_Precios!$C:$C,$B5,Lista_Precios!$E:$E,$C5,Lista_Precios!$I:$I,12),IF(SUMIFS(Lista_Precios!$J:$J,Lista_Precios!$A:$A,$A5,Lista_Precios!$C:$C,$B5,Lista_Precios!$E:$E,$C5,Lista_Precios!$I:$I,12)&gt;0,SUMIFS(Lista_Precios!$J:$J,Lista_Precios!$A:$A,$A5,Lista_Precios!$C:$C,$B5,Lista_Precios!$E:$E,$C5,Lista_Precios!$I:$I,12),""))</f>
        <v>26.04</v>
      </c>
      <c r="E5" s="4">
        <f>IF(SUMIFS(Lista_Precios!$K:$K,Lista_Precios!$A:$A,$A5,Lista_Precios!$C:$C,$B5,Lista_Precios!$E:$E,$C5,Lista_Precios!$I:$I,24)&gt;0,SUMIFS(Lista_Precios!$K:$K,Lista_Precios!$A:$A,$A5,Lista_Precios!$C:$C,$B5,Lista_Precios!$E:$E,$C5,Lista_Precios!$I:$I,24),IF(SUMIFS(Lista_Precios!$J:$J,Lista_Precios!$A:$A,$A5,Lista_Precios!$C:$C,$B5,Lista_Precios!$E:$E,$C5,Lista_Precios!$I:$I,24)&gt;0,SUMIFS(Lista_Precios!$J:$J,Lista_Precios!$A:$A,$A5,Lista_Precios!$C:$C,$B5,Lista_Precios!$E:$E,$C5,Lista_Precios!$I:$I,24),""))</f>
        <v>52.08</v>
      </c>
      <c r="F5" s="4">
        <f>IF(SUMIFS(Lista_Precios!$K:$K,Lista_Precios!$A:$A,$A5,Lista_Precios!$C:$C,$B5,Lista_Precios!$E:$E,$C5,Lista_Precios!$I:$I,36)&gt;0,SUMIFS(Lista_Precios!$K:$K,Lista_Precios!$A:$A,$A5,Lista_Precios!$C:$C,$B5,Lista_Precios!$E:$E,$C5,Lista_Precios!$I:$I,36),IF(SUMIFS(Lista_Precios!$J:$J,Lista_Precios!$A:$A,$A5,Lista_Precios!$C:$C,$B5,Lista_Precios!$E:$E,$C5,Lista_Precios!$I:$I,36)&gt;0,SUMIFS(Lista_Precios!$J:$J,Lista_Precios!$A:$A,$A5,Lista_Precios!$C:$C,$B5,Lista_Precios!$E:$E,$C5,Lista_Precios!$I:$I,36),""))</f>
        <v>78.12</v>
      </c>
      <c r="G5" s="4">
        <f t="shared" si="0"/>
        <v>2.17</v>
      </c>
      <c r="H5" s="3" t="s">
        <v>172</v>
      </c>
    </row>
    <row r="6" spans="1:8" ht="29" x14ac:dyDescent="0.35">
      <c r="A6" s="3" t="s">
        <v>56</v>
      </c>
      <c r="B6" s="3" t="s">
        <v>58</v>
      </c>
      <c r="C6" s="3" t="s">
        <v>65</v>
      </c>
      <c r="D6" s="4">
        <f>IF(SUMIFS(Lista_Precios!$K:$K,Lista_Precios!$A:$A,$A6,Lista_Precios!$C:$C,$B6,Lista_Precios!$E:$E,$C6,Lista_Precios!$I:$I,12)&gt;0,SUMIFS(Lista_Precios!$K:$K,Lista_Precios!$A:$A,$A6,Lista_Precios!$C:$C,$B6,Lista_Precios!$E:$E,$C6,Lista_Precios!$I:$I,12),IF(SUMIFS(Lista_Precios!$J:$J,Lista_Precios!$A:$A,$A6,Lista_Precios!$C:$C,$B6,Lista_Precios!$E:$E,$C6,Lista_Precios!$I:$I,12)&gt;0,SUMIFS(Lista_Precios!$J:$J,Lista_Precios!$A:$A,$A6,Lista_Precios!$C:$C,$B6,Lista_Precios!$E:$E,$C6,Lista_Precios!$I:$I,12),""))</f>
        <v>17.342000000000002</v>
      </c>
      <c r="E6" s="4">
        <f>IF(SUMIFS(Lista_Precios!$K:$K,Lista_Precios!$A:$A,$A6,Lista_Precios!$C:$C,$B6,Lista_Precios!$E:$E,$C6,Lista_Precios!$I:$I,24)&gt;0,SUMIFS(Lista_Precios!$K:$K,Lista_Precios!$A:$A,$A6,Lista_Precios!$C:$C,$B6,Lista_Precios!$E:$E,$C6,Lista_Precios!$I:$I,24),IF(SUMIFS(Lista_Precios!$J:$J,Lista_Precios!$A:$A,$A6,Lista_Precios!$C:$C,$B6,Lista_Precios!$E:$E,$C6,Lista_Precios!$I:$I,24)&gt;0,SUMIFS(Lista_Precios!$J:$J,Lista_Precios!$A:$A,$A6,Lista_Precios!$C:$C,$B6,Lista_Precios!$E:$E,$C6,Lista_Precios!$I:$I,24),""))</f>
        <v>34.684000000000005</v>
      </c>
      <c r="F6" s="4">
        <f>IF(SUMIFS(Lista_Precios!$K:$K,Lista_Precios!$A:$A,$A6,Lista_Precios!$C:$C,$B6,Lista_Precios!$E:$E,$C6,Lista_Precios!$I:$I,36)&gt;0,SUMIFS(Lista_Precios!$K:$K,Lista_Precios!$A:$A,$A6,Lista_Precios!$C:$C,$B6,Lista_Precios!$E:$E,$C6,Lista_Precios!$I:$I,36),IF(SUMIFS(Lista_Precios!$J:$J,Lista_Precios!$A:$A,$A6,Lista_Precios!$C:$C,$B6,Lista_Precios!$E:$E,$C6,Lista_Precios!$I:$I,36)&gt;0,SUMIFS(Lista_Precios!$J:$J,Lista_Precios!$A:$A,$A6,Lista_Precios!$C:$C,$B6,Lista_Precios!$E:$E,$C6,Lista_Precios!$I:$I,36),""))</f>
        <v>44.220800000000004</v>
      </c>
      <c r="G6" s="4">
        <f t="shared" si="0"/>
        <v>1.2283555555555556</v>
      </c>
      <c r="H6" s="3" t="s">
        <v>172</v>
      </c>
    </row>
    <row r="7" spans="1:8" ht="29" x14ac:dyDescent="0.35">
      <c r="A7" s="3" t="s">
        <v>62</v>
      </c>
      <c r="B7" s="3" t="s">
        <v>64</v>
      </c>
      <c r="C7" s="3" t="s">
        <v>65</v>
      </c>
      <c r="D7" s="4">
        <f>IF(SUMIFS(Lista_Precios!$K:$K,Lista_Precios!$A:$A,$A7,Lista_Precios!$C:$C,$B7,Lista_Precios!$E:$E,$C7,Lista_Precios!$I:$I,12)&gt;0,SUMIFS(Lista_Precios!$K:$K,Lista_Precios!$A:$A,$A7,Lista_Precios!$C:$C,$B7,Lista_Precios!$E:$E,$C7,Lista_Precios!$I:$I,12),IF(SUMIFS(Lista_Precios!$J:$J,Lista_Precios!$A:$A,$A7,Lista_Precios!$C:$C,$B7,Lista_Precios!$E:$E,$C7,Lista_Precios!$I:$I,12)&gt;0,SUMIFS(Lista_Precios!$J:$J,Lista_Precios!$A:$A,$A7,Lista_Precios!$C:$C,$B7,Lista_Precios!$E:$E,$C7,Lista_Precios!$I:$I,12),""))</f>
        <v>27.710800000000003</v>
      </c>
      <c r="E7" s="4">
        <f>IF(SUMIFS(Lista_Precios!$K:$K,Lista_Precios!$A:$A,$A7,Lista_Precios!$C:$C,$B7,Lista_Precios!$E:$E,$C7,Lista_Precios!$I:$I,24)&gt;0,SUMIFS(Lista_Precios!$K:$K,Lista_Precios!$A:$A,$A7,Lista_Precios!$C:$C,$B7,Lista_Precios!$E:$E,$C7,Lista_Precios!$I:$I,24),IF(SUMIFS(Lista_Precios!$J:$J,Lista_Precios!$A:$A,$A7,Lista_Precios!$C:$C,$B7,Lista_Precios!$E:$E,$C7,Lista_Precios!$I:$I,24)&gt;0,SUMIFS(Lista_Precios!$J:$J,Lista_Precios!$A:$A,$A7,Lista_Precios!$C:$C,$B7,Lista_Precios!$E:$E,$C7,Lista_Precios!$I:$I,24),""))</f>
        <v>55.416400000000003</v>
      </c>
      <c r="F7" s="4">
        <f>IF(SUMIFS(Lista_Precios!$K:$K,Lista_Precios!$A:$A,$A7,Lista_Precios!$C:$C,$B7,Lista_Precios!$E:$E,$C7,Lista_Precios!$I:$I,36)&gt;0,SUMIFS(Lista_Precios!$K:$K,Lista_Precios!$A:$A,$A7,Lista_Precios!$C:$C,$B7,Lista_Precios!$E:$E,$C7,Lista_Precios!$I:$I,36),IF(SUMIFS(Lista_Precios!$J:$J,Lista_Precios!$A:$A,$A7,Lista_Precios!$C:$C,$B7,Lista_Precios!$E:$E,$C7,Lista_Precios!$I:$I,36)&gt;0,SUMIFS(Lista_Precios!$J:$J,Lista_Precios!$A:$A,$A7,Lista_Precios!$C:$C,$B7,Lista_Precios!$E:$E,$C7,Lista_Precios!$I:$I,36),""))</f>
        <v>70.657600000000002</v>
      </c>
      <c r="G7" s="4">
        <f t="shared" si="0"/>
        <v>1.9627111111111111</v>
      </c>
      <c r="H7" s="3" t="s">
        <v>172</v>
      </c>
    </row>
    <row r="8" spans="1:8" ht="29" x14ac:dyDescent="0.35">
      <c r="A8" s="3" t="s">
        <v>72</v>
      </c>
      <c r="B8" s="3" t="s">
        <v>74</v>
      </c>
      <c r="C8" s="3" t="s">
        <v>75</v>
      </c>
      <c r="D8" s="4">
        <f>IF(SUMIFS(Lista_Precios!$K:$K,Lista_Precios!$A:$A,$A8,Lista_Precios!$C:$C,$B8,Lista_Precios!$E:$E,$C8,Lista_Precios!$I:$I,12)&gt;0,SUMIFS(Lista_Precios!$K:$K,Lista_Precios!$A:$A,$A8,Lista_Precios!$C:$C,$B8,Lista_Precios!$E:$E,$C8,Lista_Precios!$I:$I,12),IF(SUMIFS(Lista_Precios!$J:$J,Lista_Precios!$A:$A,$A8,Lista_Precios!$C:$C,$B8,Lista_Precios!$E:$E,$C8,Lista_Precios!$I:$I,12)&gt;0,SUMIFS(Lista_Precios!$J:$J,Lista_Precios!$A:$A,$A8,Lista_Precios!$C:$C,$B8,Lista_Precios!$E:$E,$C8,Lista_Precios!$I:$I,12),""))</f>
        <v>47.84</v>
      </c>
      <c r="E8" s="4">
        <f>IF(SUMIFS(Lista_Precios!$K:$K,Lista_Precios!$A:$A,$A8,Lista_Precios!$C:$C,$B8,Lista_Precios!$E:$E,$C8,Lista_Precios!$I:$I,24)&gt;0,SUMIFS(Lista_Precios!$K:$K,Lista_Precios!$A:$A,$A8,Lista_Precios!$C:$C,$B8,Lista_Precios!$E:$E,$C8,Lista_Precios!$I:$I,24),IF(SUMIFS(Lista_Precios!$J:$J,Lista_Precios!$A:$A,$A8,Lista_Precios!$C:$C,$B8,Lista_Precios!$E:$E,$C8,Lista_Precios!$I:$I,24)&gt;0,SUMIFS(Lista_Precios!$J:$J,Lista_Precios!$A:$A,$A8,Lista_Precios!$C:$C,$B8,Lista_Precios!$E:$E,$C8,Lista_Precios!$I:$I,24),""))</f>
        <v>95.68</v>
      </c>
      <c r="F8" s="4">
        <f>IF(SUMIFS(Lista_Precios!$K:$K,Lista_Precios!$A:$A,$A8,Lista_Precios!$C:$C,$B8,Lista_Precios!$E:$E,$C8,Lista_Precios!$I:$I,36)&gt;0,SUMIFS(Lista_Precios!$K:$K,Lista_Precios!$A:$A,$A8,Lista_Precios!$C:$C,$B8,Lista_Precios!$E:$E,$C8,Lista_Precios!$I:$I,36),IF(SUMIFS(Lista_Precios!$J:$J,Lista_Precios!$A:$A,$A8,Lista_Precios!$C:$C,$B8,Lista_Precios!$E:$E,$C8,Lista_Precios!$I:$I,36)&gt;0,SUMIFS(Lista_Precios!$J:$J,Lista_Precios!$A:$A,$A8,Lista_Precios!$C:$C,$B8,Lista_Precios!$E:$E,$C8,Lista_Precios!$I:$I,36),""))</f>
        <v>121.99200000000002</v>
      </c>
      <c r="G8" s="4">
        <f t="shared" si="0"/>
        <v>3.3886666666666674</v>
      </c>
      <c r="H8" s="3" t="s">
        <v>172</v>
      </c>
    </row>
    <row r="9" spans="1:8" ht="29" x14ac:dyDescent="0.35">
      <c r="A9" s="3" t="s">
        <v>72</v>
      </c>
      <c r="B9" s="3" t="s">
        <v>74</v>
      </c>
      <c r="C9" s="3" t="s">
        <v>77</v>
      </c>
      <c r="D9" s="4">
        <f>IF(SUMIFS(Lista_Precios!$K:$K,Lista_Precios!$A:$A,$A9,Lista_Precios!$C:$C,$B9,Lista_Precios!$E:$E,$C9,Lista_Precios!$I:$I,12)&gt;0,SUMIFS(Lista_Precios!$K:$K,Lista_Precios!$A:$A,$A9,Lista_Precios!$C:$C,$B9,Lista_Precios!$E:$E,$C9,Lista_Precios!$I:$I,12),IF(SUMIFS(Lista_Precios!$J:$J,Lista_Precios!$A:$A,$A9,Lista_Precios!$C:$C,$B9,Lista_Precios!$E:$E,$C9,Lista_Precios!$I:$I,12)&gt;0,SUMIFS(Lista_Precios!$J:$J,Lista_Precios!$A:$A,$A9,Lista_Precios!$C:$C,$B9,Lista_Precios!$E:$E,$C9,Lista_Precios!$I:$I,12),""))</f>
        <v>32.302399999999999</v>
      </c>
      <c r="E9" s="4">
        <f>IF(SUMIFS(Lista_Precios!$K:$K,Lista_Precios!$A:$A,$A9,Lista_Precios!$C:$C,$B9,Lista_Precios!$E:$E,$C9,Lista_Precios!$I:$I,24)&gt;0,SUMIFS(Lista_Precios!$K:$K,Lista_Precios!$A:$A,$A9,Lista_Precios!$C:$C,$B9,Lista_Precios!$E:$E,$C9,Lista_Precios!$I:$I,24),IF(SUMIFS(Lista_Precios!$J:$J,Lista_Precios!$A:$A,$A9,Lista_Precios!$C:$C,$B9,Lista_Precios!$E:$E,$C9,Lista_Precios!$I:$I,24)&gt;0,SUMIFS(Lista_Precios!$J:$J,Lista_Precios!$A:$A,$A9,Lista_Precios!$C:$C,$B9,Lista_Precios!$E:$E,$C9,Lista_Precios!$I:$I,24),""))</f>
        <v>64.61</v>
      </c>
      <c r="F9" s="4">
        <f>IF(SUMIFS(Lista_Precios!$K:$K,Lista_Precios!$A:$A,$A9,Lista_Precios!$C:$C,$B9,Lista_Precios!$E:$E,$C9,Lista_Precios!$I:$I,36)&gt;0,SUMIFS(Lista_Precios!$K:$K,Lista_Precios!$A:$A,$A9,Lista_Precios!$C:$C,$B9,Lista_Precios!$E:$E,$C9,Lista_Precios!$I:$I,36),IF(SUMIFS(Lista_Precios!$J:$J,Lista_Precios!$A:$A,$A9,Lista_Precios!$C:$C,$B9,Lista_Precios!$E:$E,$C9,Lista_Precios!$I:$I,36)&gt;0,SUMIFS(Lista_Precios!$J:$J,Lista_Precios!$A:$A,$A9,Lista_Precios!$C:$C,$B9,Lista_Precios!$E:$E,$C9,Lista_Precios!$I:$I,36),""))</f>
        <v>82.373199999999997</v>
      </c>
      <c r="G9" s="4">
        <f t="shared" si="0"/>
        <v>2.2881444444444443</v>
      </c>
      <c r="H9" s="3" t="s">
        <v>172</v>
      </c>
    </row>
    <row r="10" spans="1:8" ht="29" x14ac:dyDescent="0.35">
      <c r="A10" s="3" t="s">
        <v>72</v>
      </c>
      <c r="B10" s="3" t="s">
        <v>74</v>
      </c>
      <c r="C10" s="3" t="s">
        <v>79</v>
      </c>
      <c r="D10" s="4">
        <f>IF(SUMIFS(Lista_Precios!$K:$K,Lista_Precios!$A:$A,$A10,Lista_Precios!$C:$C,$B10,Lista_Precios!$E:$E,$C10,Lista_Precios!$I:$I,12)&gt;0,SUMIFS(Lista_Precios!$K:$K,Lista_Precios!$A:$A,$A10,Lista_Precios!$C:$C,$B10,Lista_Precios!$E:$E,$C10,Lista_Precios!$I:$I,12),IF(SUMIFS(Lista_Precios!$J:$J,Lista_Precios!$A:$A,$A10,Lista_Precios!$C:$C,$B10,Lista_Precios!$E:$E,$C10,Lista_Precios!$I:$I,12)&gt;0,SUMIFS(Lista_Precios!$J:$J,Lista_Precios!$A:$A,$A10,Lista_Precios!$C:$C,$B10,Lista_Precios!$E:$E,$C10,Lista_Precios!$I:$I,12),""))</f>
        <v>30.763200000000001</v>
      </c>
      <c r="E10" s="4">
        <f>IF(SUMIFS(Lista_Precios!$K:$K,Lista_Precios!$A:$A,$A10,Lista_Precios!$C:$C,$B10,Lista_Precios!$E:$E,$C10,Lista_Precios!$I:$I,24)&gt;0,SUMIFS(Lista_Precios!$K:$K,Lista_Precios!$A:$A,$A10,Lista_Precios!$C:$C,$B10,Lista_Precios!$E:$E,$C10,Lista_Precios!$I:$I,24),IF(SUMIFS(Lista_Precios!$J:$J,Lista_Precios!$A:$A,$A10,Lista_Precios!$C:$C,$B10,Lista_Precios!$E:$E,$C10,Lista_Precios!$I:$I,24)&gt;0,SUMIFS(Lista_Precios!$J:$J,Lista_Precios!$A:$A,$A10,Lista_Precios!$C:$C,$B10,Lista_Precios!$E:$E,$C10,Lista_Precios!$I:$I,24),""))</f>
        <v>61.531600000000005</v>
      </c>
      <c r="F10" s="4">
        <f>IF(SUMIFS(Lista_Precios!$K:$K,Lista_Precios!$A:$A,$A10,Lista_Precios!$C:$C,$B10,Lista_Precios!$E:$E,$C10,Lista_Precios!$I:$I,36)&gt;0,SUMIFS(Lista_Precios!$K:$K,Lista_Precios!$A:$A,$A10,Lista_Precios!$C:$C,$B10,Lista_Precios!$E:$E,$C10,Lista_Precios!$I:$I,36),IF(SUMIFS(Lista_Precios!$J:$J,Lista_Precios!$A:$A,$A10,Lista_Precios!$C:$C,$B10,Lista_Precios!$E:$E,$C10,Lista_Precios!$I:$I,36)&gt;0,SUMIFS(Lista_Precios!$J:$J,Lista_Precios!$A:$A,$A10,Lista_Precios!$C:$C,$B10,Lista_Precios!$E:$E,$C10,Lista_Precios!$I:$I,36),""))</f>
        <v>78.452400000000011</v>
      </c>
      <c r="G10" s="4">
        <f t="shared" si="0"/>
        <v>2.1792333333333338</v>
      </c>
      <c r="H10" s="3" t="s">
        <v>172</v>
      </c>
    </row>
    <row r="11" spans="1:8" ht="29" x14ac:dyDescent="0.35">
      <c r="A11" s="3" t="s">
        <v>72</v>
      </c>
      <c r="B11" s="3" t="s">
        <v>74</v>
      </c>
      <c r="C11" s="3" t="s">
        <v>81</v>
      </c>
      <c r="D11" s="4">
        <f>IF(SUMIFS(Lista_Precios!$K:$K,Lista_Precios!$A:$A,$A11,Lista_Precios!$C:$C,$B11,Lista_Precios!$E:$E,$C11,Lista_Precios!$I:$I,12)&gt;0,SUMIFS(Lista_Precios!$K:$K,Lista_Precios!$A:$A,$A11,Lista_Precios!$C:$C,$B11,Lista_Precios!$E:$E,$C11,Lista_Precios!$I:$I,12),IF(SUMIFS(Lista_Precios!$J:$J,Lista_Precios!$A:$A,$A11,Lista_Precios!$C:$C,$B11,Lista_Precios!$E:$E,$C11,Lista_Precios!$I:$I,12)&gt;0,SUMIFS(Lista_Precios!$J:$J,Lista_Precios!$A:$A,$A11,Lista_Precios!$C:$C,$B11,Lista_Precios!$E:$E,$C11,Lista_Precios!$I:$I,12),""))</f>
        <v>29.229200000000006</v>
      </c>
      <c r="E11" s="4">
        <f>IF(SUMIFS(Lista_Precios!$K:$K,Lista_Precios!$A:$A,$A11,Lista_Precios!$C:$C,$B11,Lista_Precios!$E:$E,$C11,Lista_Precios!$I:$I,24)&gt;0,SUMIFS(Lista_Precios!$K:$K,Lista_Precios!$A:$A,$A11,Lista_Precios!$C:$C,$B11,Lista_Precios!$E:$E,$C11,Lista_Precios!$I:$I,24),IF(SUMIFS(Lista_Precios!$J:$J,Lista_Precios!$A:$A,$A11,Lista_Precios!$C:$C,$B11,Lista_Precios!$E:$E,$C11,Lista_Precios!$I:$I,24)&gt;0,SUMIFS(Lista_Precios!$J:$J,Lista_Precios!$A:$A,$A11,Lista_Precios!$C:$C,$B11,Lista_Precios!$E:$E,$C11,Lista_Precios!$I:$I,24),""))</f>
        <v>58.45320000000001</v>
      </c>
      <c r="F11" s="4">
        <f>IF(SUMIFS(Lista_Precios!$K:$K,Lista_Precios!$A:$A,$A11,Lista_Precios!$C:$C,$B11,Lista_Precios!$E:$E,$C11,Lista_Precios!$I:$I,36)&gt;0,SUMIFS(Lista_Precios!$K:$K,Lista_Precios!$A:$A,$A11,Lista_Precios!$C:$C,$B11,Lista_Precios!$E:$E,$C11,Lista_Precios!$I:$I,36),IF(SUMIFS(Lista_Precios!$J:$J,Lista_Precios!$A:$A,$A11,Lista_Precios!$C:$C,$B11,Lista_Precios!$E:$E,$C11,Lista_Precios!$I:$I,36)&gt;0,SUMIFS(Lista_Precios!$J:$J,Lista_Precios!$A:$A,$A11,Lista_Precios!$C:$C,$B11,Lista_Precios!$E:$E,$C11,Lista_Precios!$I:$I,36),""))</f>
        <v>74.531600000000012</v>
      </c>
      <c r="G11" s="4">
        <f t="shared" si="0"/>
        <v>2.0703222222222224</v>
      </c>
      <c r="H11" s="3" t="s">
        <v>172</v>
      </c>
    </row>
    <row r="12" spans="1:8" ht="29" x14ac:dyDescent="0.35">
      <c r="A12" s="3" t="s">
        <v>72</v>
      </c>
      <c r="B12" s="3" t="s">
        <v>74</v>
      </c>
      <c r="C12" s="3" t="s">
        <v>83</v>
      </c>
      <c r="D12" s="4">
        <f>IF(SUMIFS(Lista_Precios!$K:$K,Lista_Precios!$A:$A,$A12,Lista_Precios!$C:$C,$B12,Lista_Precios!$E:$E,$C12,Lista_Precios!$I:$I,12)&gt;0,SUMIFS(Lista_Precios!$K:$K,Lista_Precios!$A:$A,$A12,Lista_Precios!$C:$C,$B12,Lista_Precios!$E:$E,$C12,Lista_Precios!$I:$I,12),IF(SUMIFS(Lista_Precios!$J:$J,Lista_Precios!$A:$A,$A12,Lista_Precios!$C:$C,$B12,Lista_Precios!$E:$E,$C12,Lista_Precios!$I:$I,12)&gt;0,SUMIFS(Lista_Precios!$J:$J,Lista_Precios!$A:$A,$A12,Lista_Precios!$C:$C,$B12,Lista_Precios!$E:$E,$C12,Lista_Precios!$I:$I,12),""))</f>
        <v>27.071200000000005</v>
      </c>
      <c r="E12" s="4">
        <f>IF(SUMIFS(Lista_Precios!$K:$K,Lista_Precios!$A:$A,$A12,Lista_Precios!$C:$C,$B12,Lista_Precios!$E:$E,$C12,Lista_Precios!$I:$I,24)&gt;0,SUMIFS(Lista_Precios!$K:$K,Lista_Precios!$A:$A,$A12,Lista_Precios!$C:$C,$B12,Lista_Precios!$E:$E,$C12,Lista_Precios!$I:$I,24),IF(SUMIFS(Lista_Precios!$J:$J,Lista_Precios!$A:$A,$A12,Lista_Precios!$C:$C,$B12,Lista_Precios!$E:$E,$C12,Lista_Precios!$I:$I,24)&gt;0,SUMIFS(Lista_Precios!$J:$J,Lista_Precios!$A:$A,$A12,Lista_Precios!$C:$C,$B12,Lista_Precios!$E:$E,$C12,Lista_Precios!$I:$I,24),""))</f>
        <v>54.147600000000004</v>
      </c>
      <c r="F12" s="4">
        <f>IF(SUMIFS(Lista_Precios!$K:$K,Lista_Precios!$A:$A,$A12,Lista_Precios!$C:$C,$B12,Lista_Precios!$E:$E,$C12,Lista_Precios!$I:$I,36)&gt;0,SUMIFS(Lista_Precios!$K:$K,Lista_Precios!$A:$A,$A12,Lista_Precios!$C:$C,$B12,Lista_Precios!$E:$E,$C12,Lista_Precios!$I:$I,36),IF(SUMIFS(Lista_Precios!$J:$J,Lista_Precios!$A:$A,$A12,Lista_Precios!$C:$C,$B12,Lista_Precios!$E:$E,$C12,Lista_Precios!$I:$I,36)&gt;0,SUMIFS(Lista_Precios!$J:$J,Lista_Precios!$A:$A,$A12,Lista_Precios!$C:$C,$B12,Lista_Precios!$E:$E,$C12,Lista_Precios!$I:$I,36),""))</f>
        <v>69.04040000000002</v>
      </c>
      <c r="G12" s="4">
        <f t="shared" si="0"/>
        <v>1.9177888888888894</v>
      </c>
      <c r="H12" s="3" t="s">
        <v>172</v>
      </c>
    </row>
    <row r="13" spans="1:8" ht="29" x14ac:dyDescent="0.35">
      <c r="A13" s="3" t="s">
        <v>95</v>
      </c>
      <c r="B13" s="3" t="s">
        <v>96</v>
      </c>
      <c r="C13" s="3" t="s">
        <v>75</v>
      </c>
      <c r="D13" s="4">
        <f>IF(SUMIFS(Lista_Precios!$K:$K,Lista_Precios!$A:$A,$A13,Lista_Precios!$C:$C,$B13,Lista_Precios!$E:$E,$C13,Lista_Precios!$I:$I,12)&gt;0,SUMIFS(Lista_Precios!$K:$K,Lista_Precios!$A:$A,$A13,Lista_Precios!$C:$C,$B13,Lista_Precios!$E:$E,$C13,Lista_Precios!$I:$I,12),IF(SUMIFS(Lista_Precios!$J:$J,Lista_Precios!$A:$A,$A13,Lista_Precios!$C:$C,$B13,Lista_Precios!$E:$E,$C13,Lista_Precios!$I:$I,12)&gt;0,SUMIFS(Lista_Precios!$J:$J,Lista_Precios!$A:$A,$A13,Lista_Precios!$C:$C,$B13,Lista_Precios!$E:$E,$C13,Lista_Precios!$I:$I,12),""))</f>
        <v>61.900800000000004</v>
      </c>
      <c r="E13" s="4">
        <f>IF(SUMIFS(Lista_Precios!$K:$K,Lista_Precios!$A:$A,$A13,Lista_Precios!$C:$C,$B13,Lista_Precios!$E:$E,$C13,Lista_Precios!$I:$I,24)&gt;0,SUMIFS(Lista_Precios!$K:$K,Lista_Precios!$A:$A,$A13,Lista_Precios!$C:$C,$B13,Lista_Precios!$E:$E,$C13,Lista_Precios!$I:$I,24),IF(SUMIFS(Lista_Precios!$J:$J,Lista_Precios!$A:$A,$A13,Lista_Precios!$C:$C,$B13,Lista_Precios!$E:$E,$C13,Lista_Precios!$I:$I,24)&gt;0,SUMIFS(Lista_Precios!$J:$J,Lista_Precios!$A:$A,$A13,Lista_Precios!$C:$C,$B13,Lista_Precios!$E:$E,$C13,Lista_Precios!$I:$I,24),""))</f>
        <v>123.80160000000001</v>
      </c>
      <c r="F13" s="4">
        <f>IF(SUMIFS(Lista_Precios!$K:$K,Lista_Precios!$A:$A,$A13,Lista_Precios!$C:$C,$B13,Lista_Precios!$E:$E,$C13,Lista_Precios!$I:$I,36)&gt;0,SUMIFS(Lista_Precios!$K:$K,Lista_Precios!$A:$A,$A13,Lista_Precios!$C:$C,$B13,Lista_Precios!$E:$E,$C13,Lista_Precios!$I:$I,36),IF(SUMIFS(Lista_Precios!$J:$J,Lista_Precios!$A:$A,$A13,Lista_Precios!$C:$C,$B13,Lista_Precios!$E:$E,$C13,Lista_Precios!$I:$I,36)&gt;0,SUMIFS(Lista_Precios!$J:$J,Lista_Precios!$A:$A,$A13,Lista_Precios!$C:$C,$B13,Lista_Precios!$E:$E,$C13,Lista_Precios!$I:$I,36),""))</f>
        <v>157.846</v>
      </c>
      <c r="G13" s="4">
        <f t="shared" si="0"/>
        <v>4.384611111111111</v>
      </c>
      <c r="H13" s="3" t="s">
        <v>172</v>
      </c>
    </row>
    <row r="14" spans="1:8" ht="29" x14ac:dyDescent="0.35">
      <c r="A14" s="3" t="s">
        <v>95</v>
      </c>
      <c r="B14" s="3" t="s">
        <v>96</v>
      </c>
      <c r="C14" s="3" t="s">
        <v>77</v>
      </c>
      <c r="D14" s="4">
        <f>IF(SUMIFS(Lista_Precios!$K:$K,Lista_Precios!$A:$A,$A14,Lista_Precios!$C:$C,$B14,Lista_Precios!$E:$E,$C14,Lista_Precios!$I:$I,12)&gt;0,SUMIFS(Lista_Precios!$K:$K,Lista_Precios!$A:$A,$A14,Lista_Precios!$C:$C,$B14,Lista_Precios!$E:$E,$C14,Lista_Precios!$I:$I,12),IF(SUMIFS(Lista_Precios!$J:$J,Lista_Precios!$A:$A,$A14,Lista_Precios!$C:$C,$B14,Lista_Precios!$E:$E,$C14,Lista_Precios!$I:$I,12)&gt;0,SUMIFS(Lista_Precios!$J:$J,Lista_Precios!$A:$A,$A14,Lista_Precios!$C:$C,$B14,Lista_Precios!$E:$E,$C14,Lista_Precios!$I:$I,12),""))</f>
        <v>47.725600000000007</v>
      </c>
      <c r="E14" s="4">
        <f>IF(SUMIFS(Lista_Precios!$K:$K,Lista_Precios!$A:$A,$A14,Lista_Precios!$C:$C,$B14,Lista_Precios!$E:$E,$C14,Lista_Precios!$I:$I,24)&gt;0,SUMIFS(Lista_Precios!$K:$K,Lista_Precios!$A:$A,$A14,Lista_Precios!$C:$C,$B14,Lista_Precios!$E:$E,$C14,Lista_Precios!$I:$I,24),IF(SUMIFS(Lista_Precios!$J:$J,Lista_Precios!$A:$A,$A14,Lista_Precios!$C:$C,$B14,Lista_Precios!$E:$E,$C14,Lista_Precios!$I:$I,24)&gt;0,SUMIFS(Lista_Precios!$J:$J,Lista_Precios!$A:$A,$A14,Lista_Precios!$C:$C,$B14,Lista_Precios!$E:$E,$C14,Lista_Precios!$I:$I,24),""))</f>
        <v>95.451200000000014</v>
      </c>
      <c r="F14" s="4">
        <f>IF(SUMIFS(Lista_Precios!$K:$K,Lista_Precios!$A:$A,$A14,Lista_Precios!$C:$C,$B14,Lista_Precios!$E:$E,$C14,Lista_Precios!$I:$I,36)&gt;0,SUMIFS(Lista_Precios!$K:$K,Lista_Precios!$A:$A,$A14,Lista_Precios!$C:$C,$B14,Lista_Precios!$E:$E,$C14,Lista_Precios!$I:$I,36),IF(SUMIFS(Lista_Precios!$J:$J,Lista_Precios!$A:$A,$A14,Lista_Precios!$C:$C,$B14,Lista_Precios!$E:$E,$C14,Lista_Precios!$I:$I,36)&gt;0,SUMIFS(Lista_Precios!$J:$J,Lista_Precios!$A:$A,$A14,Lista_Precios!$C:$C,$B14,Lista_Precios!$E:$E,$C14,Lista_Precios!$I:$I,36),""))</f>
        <v>121.70080000000002</v>
      </c>
      <c r="G14" s="4">
        <f t="shared" si="0"/>
        <v>3.3805777777777783</v>
      </c>
      <c r="H14" s="3" t="s">
        <v>172</v>
      </c>
    </row>
    <row r="15" spans="1:8" ht="29" x14ac:dyDescent="0.35">
      <c r="A15" s="3" t="s">
        <v>95</v>
      </c>
      <c r="B15" s="3" t="s">
        <v>96</v>
      </c>
      <c r="C15" s="3" t="s">
        <v>79</v>
      </c>
      <c r="D15" s="4">
        <f>IF(SUMIFS(Lista_Precios!$K:$K,Lista_Precios!$A:$A,$A15,Lista_Precios!$C:$C,$B15,Lista_Precios!$E:$E,$C15,Lista_Precios!$I:$I,12)&gt;0,SUMIFS(Lista_Precios!$K:$K,Lista_Precios!$A:$A,$A15,Lista_Precios!$C:$C,$B15,Lista_Precios!$E:$E,$C15,Lista_Precios!$I:$I,12),IF(SUMIFS(Lista_Precios!$J:$J,Lista_Precios!$A:$A,$A15,Lista_Precios!$C:$C,$B15,Lista_Precios!$E:$E,$C15,Lista_Precios!$I:$I,12)&gt;0,SUMIFS(Lista_Precios!$J:$J,Lista_Precios!$A:$A,$A15,Lista_Precios!$C:$C,$B15,Lista_Precios!$E:$E,$C15,Lista_Precios!$I:$I,12),""))</f>
        <v>45.572800000000001</v>
      </c>
      <c r="E15" s="4">
        <f>IF(SUMIFS(Lista_Precios!$K:$K,Lista_Precios!$A:$A,$A15,Lista_Precios!$C:$C,$B15,Lista_Precios!$E:$E,$C15,Lista_Precios!$I:$I,24)&gt;0,SUMIFS(Lista_Precios!$K:$K,Lista_Precios!$A:$A,$A15,Lista_Precios!$C:$C,$B15,Lista_Precios!$E:$E,$C15,Lista_Precios!$I:$I,24),IF(SUMIFS(Lista_Precios!$J:$J,Lista_Precios!$A:$A,$A15,Lista_Precios!$C:$C,$B15,Lista_Precios!$E:$E,$C15,Lista_Precios!$I:$I,24)&gt;0,SUMIFS(Lista_Precios!$J:$J,Lista_Precios!$A:$A,$A15,Lista_Precios!$C:$C,$B15,Lista_Precios!$E:$E,$C15,Lista_Precios!$I:$I,24),""))</f>
        <v>91.145600000000002</v>
      </c>
      <c r="F15" s="4">
        <f>IF(SUMIFS(Lista_Precios!$K:$K,Lista_Precios!$A:$A,$A15,Lista_Precios!$C:$C,$B15,Lista_Precios!$E:$E,$C15,Lista_Precios!$I:$I,36)&gt;0,SUMIFS(Lista_Precios!$K:$K,Lista_Precios!$A:$A,$A15,Lista_Precios!$C:$C,$B15,Lista_Precios!$E:$E,$C15,Lista_Precios!$I:$I,36),IF(SUMIFS(Lista_Precios!$J:$J,Lista_Precios!$A:$A,$A15,Lista_Precios!$C:$C,$B15,Lista_Precios!$E:$E,$C15,Lista_Precios!$I:$I,36)&gt;0,SUMIFS(Lista_Precios!$J:$J,Lista_Precios!$A:$A,$A15,Lista_Precios!$C:$C,$B15,Lista_Precios!$E:$E,$C15,Lista_Precios!$I:$I,36),""))</f>
        <v>116.20960000000001</v>
      </c>
      <c r="G15" s="4">
        <f t="shared" si="0"/>
        <v>3.2280444444444445</v>
      </c>
      <c r="H15" s="3" t="s">
        <v>172</v>
      </c>
    </row>
    <row r="16" spans="1:8" ht="29" x14ac:dyDescent="0.35">
      <c r="A16" s="3" t="s">
        <v>95</v>
      </c>
      <c r="B16" s="3" t="s">
        <v>96</v>
      </c>
      <c r="C16" s="3" t="s">
        <v>81</v>
      </c>
      <c r="D16" s="4">
        <f>IF(SUMIFS(Lista_Precios!$K:$K,Lista_Precios!$A:$A,$A16,Lista_Precios!$C:$C,$B16,Lista_Precios!$E:$E,$C16,Lista_Precios!$I:$I,12)&gt;0,SUMIFS(Lista_Precios!$K:$K,Lista_Precios!$A:$A,$A16,Lista_Precios!$C:$C,$B16,Lista_Precios!$E:$E,$C16,Lista_Precios!$I:$I,12),IF(SUMIFS(Lista_Precios!$J:$J,Lista_Precios!$A:$A,$A16,Lista_Precios!$C:$C,$B16,Lista_Precios!$E:$E,$C16,Lista_Precios!$I:$I,12)&gt;0,SUMIFS(Lista_Precios!$J:$J,Lista_Precios!$A:$A,$A16,Lista_Precios!$C:$C,$B16,Lista_Precios!$E:$E,$C16,Lista_Precios!$I:$I,12),""))</f>
        <v>42.177199999999999</v>
      </c>
      <c r="E16" s="4">
        <f>IF(SUMIFS(Lista_Precios!$K:$K,Lista_Precios!$A:$A,$A16,Lista_Precios!$C:$C,$B16,Lista_Precios!$E:$E,$C16,Lista_Precios!$I:$I,24)&gt;0,SUMIFS(Lista_Precios!$K:$K,Lista_Precios!$A:$A,$A16,Lista_Precios!$C:$C,$B16,Lista_Precios!$E:$E,$C16,Lista_Precios!$I:$I,24),IF(SUMIFS(Lista_Precios!$J:$J,Lista_Precios!$A:$A,$A16,Lista_Precios!$C:$C,$B16,Lista_Precios!$E:$E,$C16,Lista_Precios!$I:$I,24)&gt;0,SUMIFS(Lista_Precios!$J:$J,Lista_Precios!$A:$A,$A16,Lista_Precios!$C:$C,$B16,Lista_Precios!$E:$E,$C16,Lista_Precios!$I:$I,24),""))</f>
        <v>84.354399999999998</v>
      </c>
      <c r="F16" s="4">
        <f>IF(SUMIFS(Lista_Precios!$K:$K,Lista_Precios!$A:$A,$A16,Lista_Precios!$C:$C,$B16,Lista_Precios!$E:$E,$C16,Lista_Precios!$I:$I,36)&gt;0,SUMIFS(Lista_Precios!$K:$K,Lista_Precios!$A:$A,$A16,Lista_Precios!$C:$C,$B16,Lista_Precios!$E:$E,$C16,Lista_Precios!$I:$I,36),IF(SUMIFS(Lista_Precios!$J:$J,Lista_Precios!$A:$A,$A16,Lista_Precios!$C:$C,$B16,Lista_Precios!$E:$E,$C16,Lista_Precios!$I:$I,36)&gt;0,SUMIFS(Lista_Precios!$J:$J,Lista_Precios!$A:$A,$A16,Lista_Precios!$C:$C,$B16,Lista_Precios!$E:$E,$C16,Lista_Precios!$I:$I,36),""))</f>
        <v>107.55160000000001</v>
      </c>
      <c r="G16" s="4">
        <f t="shared" si="0"/>
        <v>2.9875444444444446</v>
      </c>
      <c r="H16" s="3" t="s">
        <v>172</v>
      </c>
    </row>
    <row r="17" spans="1:8" ht="29" x14ac:dyDescent="0.35">
      <c r="A17" s="3" t="s">
        <v>95</v>
      </c>
      <c r="B17" s="3" t="s">
        <v>96</v>
      </c>
      <c r="C17" s="3" t="s">
        <v>101</v>
      </c>
      <c r="D17" s="4">
        <f>IF(SUMIFS(Lista_Precios!$K:$K,Lista_Precios!$A:$A,$A17,Lista_Precios!$C:$C,$B17,Lista_Precios!$E:$E,$C17,Lista_Precios!$I:$I,12)&gt;0,SUMIFS(Lista_Precios!$K:$K,Lista_Precios!$A:$A,$A17,Lista_Precios!$C:$C,$B17,Lista_Precios!$E:$E,$C17,Lista_Precios!$I:$I,12),IF(SUMIFS(Lista_Precios!$J:$J,Lista_Precios!$A:$A,$A17,Lista_Precios!$C:$C,$B17,Lista_Precios!$E:$E,$C17,Lista_Precios!$I:$I,12)&gt;0,SUMIFS(Lista_Precios!$J:$J,Lista_Precios!$A:$A,$A17,Lista_Precios!$C:$C,$B17,Lista_Precios!$E:$E,$C17,Lista_Precios!$I:$I,12),""))</f>
        <v>40.185600000000001</v>
      </c>
      <c r="E17" s="4">
        <f>IF(SUMIFS(Lista_Precios!$K:$K,Lista_Precios!$A:$A,$A17,Lista_Precios!$C:$C,$B17,Lista_Precios!$E:$E,$C17,Lista_Precios!$I:$I,24)&gt;0,SUMIFS(Lista_Precios!$K:$K,Lista_Precios!$A:$A,$A17,Lista_Precios!$C:$C,$B17,Lista_Precios!$E:$E,$C17,Lista_Precios!$I:$I,24),IF(SUMIFS(Lista_Precios!$J:$J,Lista_Precios!$A:$A,$A17,Lista_Precios!$C:$C,$B17,Lista_Precios!$E:$E,$C17,Lista_Precios!$I:$I,24)&gt;0,SUMIFS(Lista_Precios!$J:$J,Lista_Precios!$A:$A,$A17,Lista_Precios!$C:$C,$B17,Lista_Precios!$E:$E,$C17,Lista_Precios!$I:$I,24),""))</f>
        <v>80.371200000000002</v>
      </c>
      <c r="F17" s="4">
        <f>IF(SUMIFS(Lista_Precios!$K:$K,Lista_Precios!$A:$A,$A17,Lista_Precios!$C:$C,$B17,Lista_Precios!$E:$E,$C17,Lista_Precios!$I:$I,36)&gt;0,SUMIFS(Lista_Precios!$K:$K,Lista_Precios!$A:$A,$A17,Lista_Precios!$C:$C,$B17,Lista_Precios!$E:$E,$C17,Lista_Precios!$I:$I,36),IF(SUMIFS(Lista_Precios!$J:$J,Lista_Precios!$A:$A,$A17,Lista_Precios!$C:$C,$B17,Lista_Precios!$E:$E,$C17,Lista_Precios!$I:$I,36)&gt;0,SUMIFS(Lista_Precios!$J:$J,Lista_Precios!$A:$A,$A17,Lista_Precios!$C:$C,$B17,Lista_Precios!$E:$E,$C17,Lista_Precios!$I:$I,36),""))</f>
        <v>102.47120000000001</v>
      </c>
      <c r="G17" s="4">
        <f t="shared" si="0"/>
        <v>2.8464222222222224</v>
      </c>
      <c r="H17" s="3" t="s">
        <v>172</v>
      </c>
    </row>
    <row r="18" spans="1:8" ht="29" x14ac:dyDescent="0.35">
      <c r="A18" s="3" t="s">
        <v>113</v>
      </c>
      <c r="B18" s="3" t="s">
        <v>115</v>
      </c>
      <c r="C18" s="3" t="s">
        <v>75</v>
      </c>
      <c r="D18" s="4">
        <f>IF(SUMIFS(Lista_Precios!$K:$K,Lista_Precios!$A:$A,$A18,Lista_Precios!$C:$C,$B18,Lista_Precios!$E:$E,$C18,Lista_Precios!$I:$I,12)&gt;0,SUMIFS(Lista_Precios!$K:$K,Lista_Precios!$A:$A,$A18,Lista_Precios!$C:$C,$B18,Lista_Precios!$E:$E,$C18,Lista_Precios!$I:$I,12),IF(SUMIFS(Lista_Precios!$J:$J,Lista_Precios!$A:$A,$A18,Lista_Precios!$C:$C,$B18,Lista_Precios!$E:$E,$C18,Lista_Precios!$I:$I,12)&gt;0,SUMIFS(Lista_Precios!$J:$J,Lista_Precios!$A:$A,$A18,Lista_Precios!$C:$C,$B18,Lista_Precios!$E:$E,$C18,Lista_Precios!$I:$I,12),""))</f>
        <v>47.84</v>
      </c>
      <c r="E18" s="4">
        <f>IF(SUMIFS(Lista_Precios!$K:$K,Lista_Precios!$A:$A,$A18,Lista_Precios!$C:$C,$B18,Lista_Precios!$E:$E,$C18,Lista_Precios!$I:$I,24)&gt;0,SUMIFS(Lista_Precios!$K:$K,Lista_Precios!$A:$A,$A18,Lista_Precios!$C:$C,$B18,Lista_Precios!$E:$E,$C18,Lista_Precios!$I:$I,24),IF(SUMIFS(Lista_Precios!$J:$J,Lista_Precios!$A:$A,$A18,Lista_Precios!$C:$C,$B18,Lista_Precios!$E:$E,$C18,Lista_Precios!$I:$I,24)&gt;0,SUMIFS(Lista_Precios!$J:$J,Lista_Precios!$A:$A,$A18,Lista_Precios!$C:$C,$B18,Lista_Precios!$E:$E,$C18,Lista_Precios!$I:$I,24),""))</f>
        <v>95.68</v>
      </c>
      <c r="F18" s="4">
        <f>IF(SUMIFS(Lista_Precios!$K:$K,Lista_Precios!$A:$A,$A18,Lista_Precios!$C:$C,$B18,Lista_Precios!$E:$E,$C18,Lista_Precios!$I:$I,36)&gt;0,SUMIFS(Lista_Precios!$K:$K,Lista_Precios!$A:$A,$A18,Lista_Precios!$C:$C,$B18,Lista_Precios!$E:$E,$C18,Lista_Precios!$I:$I,36),IF(SUMIFS(Lista_Precios!$J:$J,Lista_Precios!$A:$A,$A18,Lista_Precios!$C:$C,$B18,Lista_Precios!$E:$E,$C18,Lista_Precios!$I:$I,36)&gt;0,SUMIFS(Lista_Precios!$J:$J,Lista_Precios!$A:$A,$A18,Lista_Precios!$C:$C,$B18,Lista_Precios!$E:$E,$C18,Lista_Precios!$I:$I,36),""))</f>
        <v>121.99200000000002</v>
      </c>
      <c r="G18" s="4">
        <f t="shared" si="0"/>
        <v>3.3886666666666674</v>
      </c>
      <c r="H18" s="3" t="s">
        <v>172</v>
      </c>
    </row>
    <row r="19" spans="1:8" ht="29" x14ac:dyDescent="0.35">
      <c r="A19" s="3" t="s">
        <v>113</v>
      </c>
      <c r="B19" s="3" t="s">
        <v>115</v>
      </c>
      <c r="C19" s="3" t="s">
        <v>77</v>
      </c>
      <c r="D19" s="4">
        <f>IF(SUMIFS(Lista_Precios!$K:$K,Lista_Precios!$A:$A,$A19,Lista_Precios!$C:$C,$B19,Lista_Precios!$E:$E,$C19,Lista_Precios!$I:$I,12)&gt;0,SUMIFS(Lista_Precios!$K:$K,Lista_Precios!$A:$A,$A19,Lista_Precios!$C:$C,$B19,Lista_Precios!$E:$E,$C19,Lista_Precios!$I:$I,12),IF(SUMIFS(Lista_Precios!$J:$J,Lista_Precios!$A:$A,$A19,Lista_Precios!$C:$C,$B19,Lista_Precios!$E:$E,$C19,Lista_Precios!$I:$I,12)&gt;0,SUMIFS(Lista_Precios!$J:$J,Lista_Precios!$A:$A,$A19,Lista_Precios!$C:$C,$B19,Lista_Precios!$E:$E,$C19,Lista_Precios!$I:$I,12),""))</f>
        <v>32.302399999999999</v>
      </c>
      <c r="E19" s="4">
        <f>IF(SUMIFS(Lista_Precios!$K:$K,Lista_Precios!$A:$A,$A19,Lista_Precios!$C:$C,$B19,Lista_Precios!$E:$E,$C19,Lista_Precios!$I:$I,24)&gt;0,SUMIFS(Lista_Precios!$K:$K,Lista_Precios!$A:$A,$A19,Lista_Precios!$C:$C,$B19,Lista_Precios!$E:$E,$C19,Lista_Precios!$I:$I,24),IF(SUMIFS(Lista_Precios!$J:$J,Lista_Precios!$A:$A,$A19,Lista_Precios!$C:$C,$B19,Lista_Precios!$E:$E,$C19,Lista_Precios!$I:$I,24)&gt;0,SUMIFS(Lista_Precios!$J:$J,Lista_Precios!$A:$A,$A19,Lista_Precios!$C:$C,$B19,Lista_Precios!$E:$E,$C19,Lista_Precios!$I:$I,24),""))</f>
        <v>64.61</v>
      </c>
      <c r="F19" s="4">
        <f>IF(SUMIFS(Lista_Precios!$K:$K,Lista_Precios!$A:$A,$A19,Lista_Precios!$C:$C,$B19,Lista_Precios!$E:$E,$C19,Lista_Precios!$I:$I,36)&gt;0,SUMIFS(Lista_Precios!$K:$K,Lista_Precios!$A:$A,$A19,Lista_Precios!$C:$C,$B19,Lista_Precios!$E:$E,$C19,Lista_Precios!$I:$I,36),IF(SUMIFS(Lista_Precios!$J:$J,Lista_Precios!$A:$A,$A19,Lista_Precios!$C:$C,$B19,Lista_Precios!$E:$E,$C19,Lista_Precios!$I:$I,36)&gt;0,SUMIFS(Lista_Precios!$J:$J,Lista_Precios!$A:$A,$A19,Lista_Precios!$C:$C,$B19,Lista_Precios!$E:$E,$C19,Lista_Precios!$I:$I,36),""))</f>
        <v>82.373199999999997</v>
      </c>
      <c r="G19" s="4">
        <f t="shared" si="0"/>
        <v>2.2881444444444443</v>
      </c>
      <c r="H19" s="3" t="s">
        <v>172</v>
      </c>
    </row>
    <row r="20" spans="1:8" ht="29" x14ac:dyDescent="0.35">
      <c r="A20" s="3" t="s">
        <v>113</v>
      </c>
      <c r="B20" s="3" t="s">
        <v>115</v>
      </c>
      <c r="C20" s="3" t="s">
        <v>79</v>
      </c>
      <c r="D20" s="4">
        <f>IF(SUMIFS(Lista_Precios!$K:$K,Lista_Precios!$A:$A,$A20,Lista_Precios!$C:$C,$B20,Lista_Precios!$E:$E,$C20,Lista_Precios!$I:$I,12)&gt;0,SUMIFS(Lista_Precios!$K:$K,Lista_Precios!$A:$A,$A20,Lista_Precios!$C:$C,$B20,Lista_Precios!$E:$E,$C20,Lista_Precios!$I:$I,12),IF(SUMIFS(Lista_Precios!$J:$J,Lista_Precios!$A:$A,$A20,Lista_Precios!$C:$C,$B20,Lista_Precios!$E:$E,$C20,Lista_Precios!$I:$I,12)&gt;0,SUMIFS(Lista_Precios!$J:$J,Lista_Precios!$A:$A,$A20,Lista_Precios!$C:$C,$B20,Lista_Precios!$E:$E,$C20,Lista_Precios!$I:$I,12),""))</f>
        <v>30.763200000000001</v>
      </c>
      <c r="E20" s="4">
        <f>IF(SUMIFS(Lista_Precios!$K:$K,Lista_Precios!$A:$A,$A20,Lista_Precios!$C:$C,$B20,Lista_Precios!$E:$E,$C20,Lista_Precios!$I:$I,24)&gt;0,SUMIFS(Lista_Precios!$K:$K,Lista_Precios!$A:$A,$A20,Lista_Precios!$C:$C,$B20,Lista_Precios!$E:$E,$C20,Lista_Precios!$I:$I,24),IF(SUMIFS(Lista_Precios!$J:$J,Lista_Precios!$A:$A,$A20,Lista_Precios!$C:$C,$B20,Lista_Precios!$E:$E,$C20,Lista_Precios!$I:$I,24)&gt;0,SUMIFS(Lista_Precios!$J:$J,Lista_Precios!$A:$A,$A20,Lista_Precios!$C:$C,$B20,Lista_Precios!$E:$E,$C20,Lista_Precios!$I:$I,24),""))</f>
        <v>61.531600000000005</v>
      </c>
      <c r="F20" s="4">
        <f>IF(SUMIFS(Lista_Precios!$K:$K,Lista_Precios!$A:$A,$A20,Lista_Precios!$C:$C,$B20,Lista_Precios!$E:$E,$C20,Lista_Precios!$I:$I,36)&gt;0,SUMIFS(Lista_Precios!$K:$K,Lista_Precios!$A:$A,$A20,Lista_Precios!$C:$C,$B20,Lista_Precios!$E:$E,$C20,Lista_Precios!$I:$I,36),IF(SUMIFS(Lista_Precios!$J:$J,Lista_Precios!$A:$A,$A20,Lista_Precios!$C:$C,$B20,Lista_Precios!$E:$E,$C20,Lista_Precios!$I:$I,36)&gt;0,SUMIFS(Lista_Precios!$J:$J,Lista_Precios!$A:$A,$A20,Lista_Precios!$C:$C,$B20,Lista_Precios!$E:$E,$C20,Lista_Precios!$I:$I,36),""))</f>
        <v>78.452400000000011</v>
      </c>
      <c r="G20" s="4">
        <f t="shared" si="0"/>
        <v>2.1792333333333338</v>
      </c>
      <c r="H20" s="3" t="s">
        <v>172</v>
      </c>
    </row>
    <row r="21" spans="1:8" ht="29" x14ac:dyDescent="0.35">
      <c r="A21" s="3" t="s">
        <v>113</v>
      </c>
      <c r="B21" s="3" t="s">
        <v>115</v>
      </c>
      <c r="C21" s="3" t="s">
        <v>81</v>
      </c>
      <c r="D21" s="4">
        <f>IF(SUMIFS(Lista_Precios!$K:$K,Lista_Precios!$A:$A,$A21,Lista_Precios!$C:$C,$B21,Lista_Precios!$E:$E,$C21,Lista_Precios!$I:$I,12)&gt;0,SUMIFS(Lista_Precios!$K:$K,Lista_Precios!$A:$A,$A21,Lista_Precios!$C:$C,$B21,Lista_Precios!$E:$E,$C21,Lista_Precios!$I:$I,12),IF(SUMIFS(Lista_Precios!$J:$J,Lista_Precios!$A:$A,$A21,Lista_Precios!$C:$C,$B21,Lista_Precios!$E:$E,$C21,Lista_Precios!$I:$I,12)&gt;0,SUMIFS(Lista_Precios!$J:$J,Lista_Precios!$A:$A,$A21,Lista_Precios!$C:$C,$B21,Lista_Precios!$E:$E,$C21,Lista_Precios!$I:$I,12),""))</f>
        <v>29.229200000000006</v>
      </c>
      <c r="E21" s="4">
        <f>IF(SUMIFS(Lista_Precios!$K:$K,Lista_Precios!$A:$A,$A21,Lista_Precios!$C:$C,$B21,Lista_Precios!$E:$E,$C21,Lista_Precios!$I:$I,24)&gt;0,SUMIFS(Lista_Precios!$K:$K,Lista_Precios!$A:$A,$A21,Lista_Precios!$C:$C,$B21,Lista_Precios!$E:$E,$C21,Lista_Precios!$I:$I,24),IF(SUMIFS(Lista_Precios!$J:$J,Lista_Precios!$A:$A,$A21,Lista_Precios!$C:$C,$B21,Lista_Precios!$E:$E,$C21,Lista_Precios!$I:$I,24)&gt;0,SUMIFS(Lista_Precios!$J:$J,Lista_Precios!$A:$A,$A21,Lista_Precios!$C:$C,$B21,Lista_Precios!$E:$E,$C21,Lista_Precios!$I:$I,24),""))</f>
        <v>58.45320000000001</v>
      </c>
      <c r="F21" s="4">
        <f>IF(SUMIFS(Lista_Precios!$K:$K,Lista_Precios!$A:$A,$A21,Lista_Precios!$C:$C,$B21,Lista_Precios!$E:$E,$C21,Lista_Precios!$I:$I,36)&gt;0,SUMIFS(Lista_Precios!$K:$K,Lista_Precios!$A:$A,$A21,Lista_Precios!$C:$C,$B21,Lista_Precios!$E:$E,$C21,Lista_Precios!$I:$I,36),IF(SUMIFS(Lista_Precios!$J:$J,Lista_Precios!$A:$A,$A21,Lista_Precios!$C:$C,$B21,Lista_Precios!$E:$E,$C21,Lista_Precios!$I:$I,36)&gt;0,SUMIFS(Lista_Precios!$J:$J,Lista_Precios!$A:$A,$A21,Lista_Precios!$C:$C,$B21,Lista_Precios!$E:$E,$C21,Lista_Precios!$I:$I,36),""))</f>
        <v>74.531600000000012</v>
      </c>
      <c r="G21" s="4">
        <f t="shared" si="0"/>
        <v>2.0703222222222224</v>
      </c>
      <c r="H21" s="3" t="s">
        <v>172</v>
      </c>
    </row>
    <row r="22" spans="1:8" ht="29" x14ac:dyDescent="0.35">
      <c r="A22" s="3" t="s">
        <v>113</v>
      </c>
      <c r="B22" s="3" t="s">
        <v>115</v>
      </c>
      <c r="C22" s="3" t="s">
        <v>83</v>
      </c>
      <c r="D22" s="4">
        <f>IF(SUMIFS(Lista_Precios!$K:$K,Lista_Precios!$A:$A,$A22,Lista_Precios!$C:$C,$B22,Lista_Precios!$E:$E,$C22,Lista_Precios!$I:$I,12)&gt;0,SUMIFS(Lista_Precios!$K:$K,Lista_Precios!$A:$A,$A22,Lista_Precios!$C:$C,$B22,Lista_Precios!$E:$E,$C22,Lista_Precios!$I:$I,12),IF(SUMIFS(Lista_Precios!$J:$J,Lista_Precios!$A:$A,$A22,Lista_Precios!$C:$C,$B22,Lista_Precios!$E:$E,$C22,Lista_Precios!$I:$I,12)&gt;0,SUMIFS(Lista_Precios!$J:$J,Lista_Precios!$A:$A,$A22,Lista_Precios!$C:$C,$B22,Lista_Precios!$E:$E,$C22,Lista_Precios!$I:$I,12),""))</f>
        <v>27.071200000000005</v>
      </c>
      <c r="E22" s="4">
        <f>IF(SUMIFS(Lista_Precios!$K:$K,Lista_Precios!$A:$A,$A22,Lista_Precios!$C:$C,$B22,Lista_Precios!$E:$E,$C22,Lista_Precios!$I:$I,24)&gt;0,SUMIFS(Lista_Precios!$K:$K,Lista_Precios!$A:$A,$A22,Lista_Precios!$C:$C,$B22,Lista_Precios!$E:$E,$C22,Lista_Precios!$I:$I,24),IF(SUMIFS(Lista_Precios!$J:$J,Lista_Precios!$A:$A,$A22,Lista_Precios!$C:$C,$B22,Lista_Precios!$E:$E,$C22,Lista_Precios!$I:$I,24)&gt;0,SUMIFS(Lista_Precios!$J:$J,Lista_Precios!$A:$A,$A22,Lista_Precios!$C:$C,$B22,Lista_Precios!$E:$E,$C22,Lista_Precios!$I:$I,24),""))</f>
        <v>54.147600000000004</v>
      </c>
      <c r="F22" s="4">
        <f>IF(SUMIFS(Lista_Precios!$K:$K,Lista_Precios!$A:$A,$A22,Lista_Precios!$C:$C,$B22,Lista_Precios!$E:$E,$C22,Lista_Precios!$I:$I,36)&gt;0,SUMIFS(Lista_Precios!$K:$K,Lista_Precios!$A:$A,$A22,Lista_Precios!$C:$C,$B22,Lista_Precios!$E:$E,$C22,Lista_Precios!$I:$I,36),IF(SUMIFS(Lista_Precios!$J:$J,Lista_Precios!$A:$A,$A22,Lista_Precios!$C:$C,$B22,Lista_Precios!$E:$E,$C22,Lista_Precios!$I:$I,36)&gt;0,SUMIFS(Lista_Precios!$J:$J,Lista_Precios!$A:$A,$A22,Lista_Precios!$C:$C,$B22,Lista_Precios!$E:$E,$C22,Lista_Precios!$I:$I,36),""))</f>
        <v>69.04040000000002</v>
      </c>
      <c r="G22" s="4">
        <f t="shared" si="0"/>
        <v>1.9177888888888894</v>
      </c>
      <c r="H22" s="3" t="s">
        <v>172</v>
      </c>
    </row>
    <row r="23" spans="1:8" ht="29" x14ac:dyDescent="0.35">
      <c r="A23" s="3" t="s">
        <v>116</v>
      </c>
      <c r="B23" s="3" t="s">
        <v>117</v>
      </c>
      <c r="C23" s="3" t="s">
        <v>75</v>
      </c>
      <c r="D23" s="4">
        <f>IF(SUMIFS(Lista_Precios!$K:$K,Lista_Precios!$A:$A,$A23,Lista_Precios!$C:$C,$B23,Lista_Precios!$E:$E,$C23,Lista_Precios!$I:$I,12)&gt;0,SUMIFS(Lista_Precios!$K:$K,Lista_Precios!$A:$A,$A23,Lista_Precios!$C:$C,$B23,Lista_Precios!$E:$E,$C23,Lista_Precios!$I:$I,12),IF(SUMIFS(Lista_Precios!$J:$J,Lista_Precios!$A:$A,$A23,Lista_Precios!$C:$C,$B23,Lista_Precios!$E:$E,$C23,Lista_Precios!$I:$I,12)&gt;0,SUMIFS(Lista_Precios!$J:$J,Lista_Precios!$A:$A,$A23,Lista_Precios!$C:$C,$B23,Lista_Precios!$E:$E,$C23,Lista_Precios!$I:$I,12),""))</f>
        <v>61.900800000000004</v>
      </c>
      <c r="E23" s="4">
        <f>IF(SUMIFS(Lista_Precios!$K:$K,Lista_Precios!$A:$A,$A23,Lista_Precios!$C:$C,$B23,Lista_Precios!$E:$E,$C23,Lista_Precios!$I:$I,24)&gt;0,SUMIFS(Lista_Precios!$K:$K,Lista_Precios!$A:$A,$A23,Lista_Precios!$C:$C,$B23,Lista_Precios!$E:$E,$C23,Lista_Precios!$I:$I,24),IF(SUMIFS(Lista_Precios!$J:$J,Lista_Precios!$A:$A,$A23,Lista_Precios!$C:$C,$B23,Lista_Precios!$E:$E,$C23,Lista_Precios!$I:$I,24)&gt;0,SUMIFS(Lista_Precios!$J:$J,Lista_Precios!$A:$A,$A23,Lista_Precios!$C:$C,$B23,Lista_Precios!$E:$E,$C23,Lista_Precios!$I:$I,24),""))</f>
        <v>123.80160000000001</v>
      </c>
      <c r="F23" s="4">
        <f>IF(SUMIFS(Lista_Precios!$K:$K,Lista_Precios!$A:$A,$A23,Lista_Precios!$C:$C,$B23,Lista_Precios!$E:$E,$C23,Lista_Precios!$I:$I,36)&gt;0,SUMIFS(Lista_Precios!$K:$K,Lista_Precios!$A:$A,$A23,Lista_Precios!$C:$C,$B23,Lista_Precios!$E:$E,$C23,Lista_Precios!$I:$I,36),IF(SUMIFS(Lista_Precios!$J:$J,Lista_Precios!$A:$A,$A23,Lista_Precios!$C:$C,$B23,Lista_Precios!$E:$E,$C23,Lista_Precios!$I:$I,36)&gt;0,SUMIFS(Lista_Precios!$J:$J,Lista_Precios!$A:$A,$A23,Lista_Precios!$C:$C,$B23,Lista_Precios!$E:$E,$C23,Lista_Precios!$I:$I,36),""))</f>
        <v>157.846</v>
      </c>
      <c r="G23" s="4">
        <f t="shared" si="0"/>
        <v>4.384611111111111</v>
      </c>
      <c r="H23" s="3" t="s">
        <v>172</v>
      </c>
    </row>
    <row r="24" spans="1:8" ht="29" x14ac:dyDescent="0.35">
      <c r="A24" s="3" t="s">
        <v>116</v>
      </c>
      <c r="B24" s="3" t="s">
        <v>117</v>
      </c>
      <c r="C24" s="3" t="s">
        <v>77</v>
      </c>
      <c r="D24" s="4">
        <f>IF(SUMIFS(Lista_Precios!$K:$K,Lista_Precios!$A:$A,$A24,Lista_Precios!$C:$C,$B24,Lista_Precios!$E:$E,$C24,Lista_Precios!$I:$I,12)&gt;0,SUMIFS(Lista_Precios!$K:$K,Lista_Precios!$A:$A,$A24,Lista_Precios!$C:$C,$B24,Lista_Precios!$E:$E,$C24,Lista_Precios!$I:$I,12),IF(SUMIFS(Lista_Precios!$J:$J,Lista_Precios!$A:$A,$A24,Lista_Precios!$C:$C,$B24,Lista_Precios!$E:$E,$C24,Lista_Precios!$I:$I,12)&gt;0,SUMIFS(Lista_Precios!$J:$J,Lista_Precios!$A:$A,$A24,Lista_Precios!$C:$C,$B24,Lista_Precios!$E:$E,$C24,Lista_Precios!$I:$I,12),""))</f>
        <v>47.725600000000007</v>
      </c>
      <c r="E24" s="4">
        <f>IF(SUMIFS(Lista_Precios!$K:$K,Lista_Precios!$A:$A,$A24,Lista_Precios!$C:$C,$B24,Lista_Precios!$E:$E,$C24,Lista_Precios!$I:$I,24)&gt;0,SUMIFS(Lista_Precios!$K:$K,Lista_Precios!$A:$A,$A24,Lista_Precios!$C:$C,$B24,Lista_Precios!$E:$E,$C24,Lista_Precios!$I:$I,24),IF(SUMIFS(Lista_Precios!$J:$J,Lista_Precios!$A:$A,$A24,Lista_Precios!$C:$C,$B24,Lista_Precios!$E:$E,$C24,Lista_Precios!$I:$I,24)&gt;0,SUMIFS(Lista_Precios!$J:$J,Lista_Precios!$A:$A,$A24,Lista_Precios!$C:$C,$B24,Lista_Precios!$E:$E,$C24,Lista_Precios!$I:$I,24),""))</f>
        <v>95.451200000000014</v>
      </c>
      <c r="F24" s="4">
        <f>IF(SUMIFS(Lista_Precios!$K:$K,Lista_Precios!$A:$A,$A24,Lista_Precios!$C:$C,$B24,Lista_Precios!$E:$E,$C24,Lista_Precios!$I:$I,36)&gt;0,SUMIFS(Lista_Precios!$K:$K,Lista_Precios!$A:$A,$A24,Lista_Precios!$C:$C,$B24,Lista_Precios!$E:$E,$C24,Lista_Precios!$I:$I,36),IF(SUMIFS(Lista_Precios!$J:$J,Lista_Precios!$A:$A,$A24,Lista_Precios!$C:$C,$B24,Lista_Precios!$E:$E,$C24,Lista_Precios!$I:$I,36)&gt;0,SUMIFS(Lista_Precios!$J:$J,Lista_Precios!$A:$A,$A24,Lista_Precios!$C:$C,$B24,Lista_Precios!$E:$E,$C24,Lista_Precios!$I:$I,36),""))</f>
        <v>121.70080000000002</v>
      </c>
      <c r="G24" s="4">
        <f t="shared" si="0"/>
        <v>3.3805777777777783</v>
      </c>
      <c r="H24" s="3" t="s">
        <v>172</v>
      </c>
    </row>
    <row r="25" spans="1:8" ht="29" x14ac:dyDescent="0.35">
      <c r="A25" s="3" t="s">
        <v>116</v>
      </c>
      <c r="B25" s="3" t="s">
        <v>117</v>
      </c>
      <c r="C25" s="3" t="s">
        <v>79</v>
      </c>
      <c r="D25" s="4">
        <f>IF(SUMIFS(Lista_Precios!$K:$K,Lista_Precios!$A:$A,$A25,Lista_Precios!$C:$C,$B25,Lista_Precios!$E:$E,$C25,Lista_Precios!$I:$I,12)&gt;0,SUMIFS(Lista_Precios!$K:$K,Lista_Precios!$A:$A,$A25,Lista_Precios!$C:$C,$B25,Lista_Precios!$E:$E,$C25,Lista_Precios!$I:$I,12),IF(SUMIFS(Lista_Precios!$J:$J,Lista_Precios!$A:$A,$A25,Lista_Precios!$C:$C,$B25,Lista_Precios!$E:$E,$C25,Lista_Precios!$I:$I,12)&gt;0,SUMIFS(Lista_Precios!$J:$J,Lista_Precios!$A:$A,$A25,Lista_Precios!$C:$C,$B25,Lista_Precios!$E:$E,$C25,Lista_Precios!$I:$I,12),""))</f>
        <v>45.572800000000001</v>
      </c>
      <c r="E25" s="4">
        <f>IF(SUMIFS(Lista_Precios!$K:$K,Lista_Precios!$A:$A,$A25,Lista_Precios!$C:$C,$B25,Lista_Precios!$E:$E,$C25,Lista_Precios!$I:$I,24)&gt;0,SUMIFS(Lista_Precios!$K:$K,Lista_Precios!$A:$A,$A25,Lista_Precios!$C:$C,$B25,Lista_Precios!$E:$E,$C25,Lista_Precios!$I:$I,24),IF(SUMIFS(Lista_Precios!$J:$J,Lista_Precios!$A:$A,$A25,Lista_Precios!$C:$C,$B25,Lista_Precios!$E:$E,$C25,Lista_Precios!$I:$I,24)&gt;0,SUMIFS(Lista_Precios!$J:$J,Lista_Precios!$A:$A,$A25,Lista_Precios!$C:$C,$B25,Lista_Precios!$E:$E,$C25,Lista_Precios!$I:$I,24),""))</f>
        <v>91.145600000000002</v>
      </c>
      <c r="F25" s="4">
        <f>IF(SUMIFS(Lista_Precios!$K:$K,Lista_Precios!$A:$A,$A25,Lista_Precios!$C:$C,$B25,Lista_Precios!$E:$E,$C25,Lista_Precios!$I:$I,36)&gt;0,SUMIFS(Lista_Precios!$K:$K,Lista_Precios!$A:$A,$A25,Lista_Precios!$C:$C,$B25,Lista_Precios!$E:$E,$C25,Lista_Precios!$I:$I,36),IF(SUMIFS(Lista_Precios!$J:$J,Lista_Precios!$A:$A,$A25,Lista_Precios!$C:$C,$B25,Lista_Precios!$E:$E,$C25,Lista_Precios!$I:$I,36)&gt;0,SUMIFS(Lista_Precios!$J:$J,Lista_Precios!$A:$A,$A25,Lista_Precios!$C:$C,$B25,Lista_Precios!$E:$E,$C25,Lista_Precios!$I:$I,36),""))</f>
        <v>116.20960000000001</v>
      </c>
      <c r="G25" s="4">
        <f t="shared" si="0"/>
        <v>3.2280444444444445</v>
      </c>
      <c r="H25" s="3" t="s">
        <v>172</v>
      </c>
    </row>
    <row r="26" spans="1:8" ht="29" x14ac:dyDescent="0.35">
      <c r="A26" s="3" t="s">
        <v>116</v>
      </c>
      <c r="B26" s="3" t="s">
        <v>117</v>
      </c>
      <c r="C26" s="3" t="s">
        <v>81</v>
      </c>
      <c r="D26" s="4">
        <f>IF(SUMIFS(Lista_Precios!$K:$K,Lista_Precios!$A:$A,$A26,Lista_Precios!$C:$C,$B26,Lista_Precios!$E:$E,$C26,Lista_Precios!$I:$I,12)&gt;0,SUMIFS(Lista_Precios!$K:$K,Lista_Precios!$A:$A,$A26,Lista_Precios!$C:$C,$B26,Lista_Precios!$E:$E,$C26,Lista_Precios!$I:$I,12),IF(SUMIFS(Lista_Precios!$J:$J,Lista_Precios!$A:$A,$A26,Lista_Precios!$C:$C,$B26,Lista_Precios!$E:$E,$C26,Lista_Precios!$I:$I,12)&gt;0,SUMIFS(Lista_Precios!$J:$J,Lista_Precios!$A:$A,$A26,Lista_Precios!$C:$C,$B26,Lista_Precios!$E:$E,$C26,Lista_Precios!$I:$I,12),""))</f>
        <v>42.177199999999999</v>
      </c>
      <c r="E26" s="4">
        <f>IF(SUMIFS(Lista_Precios!$K:$K,Lista_Precios!$A:$A,$A26,Lista_Precios!$C:$C,$B26,Lista_Precios!$E:$E,$C26,Lista_Precios!$I:$I,24)&gt;0,SUMIFS(Lista_Precios!$K:$K,Lista_Precios!$A:$A,$A26,Lista_Precios!$C:$C,$B26,Lista_Precios!$E:$E,$C26,Lista_Precios!$I:$I,24),IF(SUMIFS(Lista_Precios!$J:$J,Lista_Precios!$A:$A,$A26,Lista_Precios!$C:$C,$B26,Lista_Precios!$E:$E,$C26,Lista_Precios!$I:$I,24)&gt;0,SUMIFS(Lista_Precios!$J:$J,Lista_Precios!$A:$A,$A26,Lista_Precios!$C:$C,$B26,Lista_Precios!$E:$E,$C26,Lista_Precios!$I:$I,24),""))</f>
        <v>84.354399999999998</v>
      </c>
      <c r="F26" s="4">
        <f>IF(SUMIFS(Lista_Precios!$K:$K,Lista_Precios!$A:$A,$A26,Lista_Precios!$C:$C,$B26,Lista_Precios!$E:$E,$C26,Lista_Precios!$I:$I,36)&gt;0,SUMIFS(Lista_Precios!$K:$K,Lista_Precios!$A:$A,$A26,Lista_Precios!$C:$C,$B26,Lista_Precios!$E:$E,$C26,Lista_Precios!$I:$I,36),IF(SUMIFS(Lista_Precios!$J:$J,Lista_Precios!$A:$A,$A26,Lista_Precios!$C:$C,$B26,Lista_Precios!$E:$E,$C26,Lista_Precios!$I:$I,36)&gt;0,SUMIFS(Lista_Precios!$J:$J,Lista_Precios!$A:$A,$A26,Lista_Precios!$C:$C,$B26,Lista_Precios!$E:$E,$C26,Lista_Precios!$I:$I,36),""))</f>
        <v>107.55160000000001</v>
      </c>
      <c r="G26" s="4">
        <f t="shared" si="0"/>
        <v>2.9875444444444446</v>
      </c>
      <c r="H26" s="3" t="s">
        <v>172</v>
      </c>
    </row>
    <row r="27" spans="1:8" ht="29" x14ac:dyDescent="0.35">
      <c r="A27" s="3" t="s">
        <v>116</v>
      </c>
      <c r="B27" s="3" t="s">
        <v>117</v>
      </c>
      <c r="C27" s="3" t="s">
        <v>101</v>
      </c>
      <c r="D27" s="4">
        <f>IF(SUMIFS(Lista_Precios!$K:$K,Lista_Precios!$A:$A,$A27,Lista_Precios!$C:$C,$B27,Lista_Precios!$E:$E,$C27,Lista_Precios!$I:$I,12)&gt;0,SUMIFS(Lista_Precios!$K:$K,Lista_Precios!$A:$A,$A27,Lista_Precios!$C:$C,$B27,Lista_Precios!$E:$E,$C27,Lista_Precios!$I:$I,12),IF(SUMIFS(Lista_Precios!$J:$J,Lista_Precios!$A:$A,$A27,Lista_Precios!$C:$C,$B27,Lista_Precios!$E:$E,$C27,Lista_Precios!$I:$I,12)&gt;0,SUMIFS(Lista_Precios!$J:$J,Lista_Precios!$A:$A,$A27,Lista_Precios!$C:$C,$B27,Lista_Precios!$E:$E,$C27,Lista_Precios!$I:$I,12),""))</f>
        <v>40.185600000000001</v>
      </c>
      <c r="E27" s="4">
        <f>IF(SUMIFS(Lista_Precios!$K:$K,Lista_Precios!$A:$A,$A27,Lista_Precios!$C:$C,$B27,Lista_Precios!$E:$E,$C27,Lista_Precios!$I:$I,24)&gt;0,SUMIFS(Lista_Precios!$K:$K,Lista_Precios!$A:$A,$A27,Lista_Precios!$C:$C,$B27,Lista_Precios!$E:$E,$C27,Lista_Precios!$I:$I,24),IF(SUMIFS(Lista_Precios!$J:$J,Lista_Precios!$A:$A,$A27,Lista_Precios!$C:$C,$B27,Lista_Precios!$E:$E,$C27,Lista_Precios!$I:$I,24)&gt;0,SUMIFS(Lista_Precios!$J:$J,Lista_Precios!$A:$A,$A27,Lista_Precios!$C:$C,$B27,Lista_Precios!$E:$E,$C27,Lista_Precios!$I:$I,24),""))</f>
        <v>80.371200000000002</v>
      </c>
      <c r="F27" s="4">
        <f>IF(SUMIFS(Lista_Precios!$K:$K,Lista_Precios!$A:$A,$A27,Lista_Precios!$C:$C,$B27,Lista_Precios!$E:$E,$C27,Lista_Precios!$I:$I,36)&gt;0,SUMIFS(Lista_Precios!$K:$K,Lista_Precios!$A:$A,$A27,Lista_Precios!$C:$C,$B27,Lista_Precios!$E:$E,$C27,Lista_Precios!$I:$I,36),IF(SUMIFS(Lista_Precios!$J:$J,Lista_Precios!$A:$A,$A27,Lista_Precios!$C:$C,$B27,Lista_Precios!$E:$E,$C27,Lista_Precios!$I:$I,36)&gt;0,SUMIFS(Lista_Precios!$J:$J,Lista_Precios!$A:$A,$A27,Lista_Precios!$C:$C,$B27,Lista_Precios!$E:$E,$C27,Lista_Precios!$I:$I,36),""))</f>
        <v>102.47120000000001</v>
      </c>
      <c r="G27" s="4">
        <f t="shared" si="0"/>
        <v>2.8464222222222224</v>
      </c>
      <c r="H27" s="3" t="s">
        <v>172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Reglas_de_Uso</vt:lpstr>
      <vt:lpstr>Buscador</vt:lpstr>
      <vt:lpstr>Lista_Precios</vt:lpstr>
      <vt:lpstr>Specs_Firewall</vt:lpstr>
      <vt:lpstr>Comparador_12_24_36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 RODRIGUEZ CUBILLOS</dc:creator>
  <cp:lastModifiedBy>EDINSON RODRIGUEZ CUBILLOS</cp:lastModifiedBy>
  <dcterms:created xsi:type="dcterms:W3CDTF">2026-05-12T15:58:23Z</dcterms:created>
  <dcterms:modified xsi:type="dcterms:W3CDTF">2026-05-22T21:01:36Z</dcterms:modified>
</cp:coreProperties>
</file>